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328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HP\Documents\CompSciFinal\"/>
    </mc:Choice>
  </mc:AlternateContent>
  <xr:revisionPtr revIDLastSave="0" documentId="13_ncr:1_{A8A4D70C-A493-4996-82C0-D798D4C28BC5}" xr6:coauthVersionLast="47" xr6:coauthVersionMax="47" xr10:uidLastSave="{00000000-0000-0000-0000-000000000000}"/>
  <bookViews>
    <workbookView xWindow="-120" yWindow="-120" windowWidth="20730" windowHeight="11760" xr2:uid="{00000000-000D-0000-FFFF-FFFF00000000}"/>
  </bookViews>
  <sheets>
    <sheet name="Sheet2" sheetId="2" r:id="rId1"/>
    <sheet name="Sheet1" sheetId="1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0" i="2" l="1"/>
  <c r="C11" i="2"/>
  <c r="D11" i="2"/>
  <c r="E11" i="2"/>
  <c r="E10" i="2"/>
  <c r="D10" i="2"/>
</calcChain>
</file>

<file path=xl/sharedStrings.xml><?xml version="1.0" encoding="utf-8"?>
<sst xmlns="http://schemas.openxmlformats.org/spreadsheetml/2006/main" count="49" uniqueCount="49">
  <si>
    <t>Date</t>
  </si>
  <si>
    <t>File Name</t>
  </si>
  <si>
    <t>Test Name</t>
  </si>
  <si>
    <t>Glb Score</t>
  </si>
  <si>
    <t>Percentile</t>
  </si>
  <si>
    <t>Glb Acc%</t>
  </si>
  <si>
    <t>Glb C</t>
  </si>
  <si>
    <t>Glb W</t>
  </si>
  <si>
    <t>Glb U</t>
  </si>
  <si>
    <t>Phy S</t>
  </si>
  <si>
    <t>Phy Acc%</t>
  </si>
  <si>
    <t>Phy C</t>
  </si>
  <si>
    <t>Phy W</t>
  </si>
  <si>
    <t>Phy U</t>
  </si>
  <si>
    <t>Chem S</t>
  </si>
  <si>
    <t>Chem Acc%</t>
  </si>
  <si>
    <t>Chem C</t>
  </si>
  <si>
    <t>Chem W</t>
  </si>
  <si>
    <t>Chem U</t>
  </si>
  <si>
    <t>Math S</t>
  </si>
  <si>
    <t>Math Acc%</t>
  </si>
  <si>
    <t>Math C</t>
  </si>
  <si>
    <t>Math W</t>
  </si>
  <si>
    <t>Math U</t>
  </si>
  <si>
    <t>self1.html</t>
  </si>
  <si>
    <t>self2.html</t>
  </si>
  <si>
    <t>test1.html</t>
  </si>
  <si>
    <t>test2.html</t>
  </si>
  <si>
    <t>test3.html</t>
  </si>
  <si>
    <t>test4.html</t>
  </si>
  <si>
    <t>test5.html</t>
  </si>
  <si>
    <t>test6.html</t>
  </si>
  <si>
    <t>test7.html</t>
  </si>
  <si>
    <t>test8.html</t>
  </si>
  <si>
    <t>JEE MAINS 24 Jan Shift 1 | 27th Dec,2024 | Online Mode</t>
  </si>
  <si>
    <t>JEE MAINS 24 Jan Shift 2 | 27th Dec,2024 | Online Mode</t>
  </si>
  <si>
    <t>JEE MAINS 01 Feb Shift 1 | 10th Dec,2024 | Online Mode</t>
  </si>
  <si>
    <t>JEE MAINS 01 Feb Shift 2 | 10th Dec,2024 | Online Mode</t>
  </si>
  <si>
    <t>JEE MAINS 05 Apr Shift 1 | 10th Dec,2024 | Online Mode</t>
  </si>
  <si>
    <t>JEE MAINS 08 Apr Shift 1 | 10th Dec,2024 | Online Mode</t>
  </si>
  <si>
    <t>JEE MAINS 08 Apr Shift 2 | 10th Dec,2024 | Online Mode</t>
  </si>
  <si>
    <t>JEE MAINS 27 Jan Shift 1 | 1st Jan,1 | Online Mode</t>
  </si>
  <si>
    <t>JEE MAINS 29 Jan Shift 2 | 10th Dec,2024 | Online Mode</t>
  </si>
  <si>
    <t>JEE MAINS 31 Jan Shift 1 | 10th Dec,2024 | Online Mode</t>
  </si>
  <si>
    <t>Timeline</t>
  </si>
  <si>
    <t>Values</t>
  </si>
  <si>
    <t>Forecast</t>
  </si>
  <si>
    <t>Lower Confidence Bound</t>
  </si>
  <si>
    <t>Upper Confidence Bound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</si>
</sst>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3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</fills>
  <borders count="3">
    <border>
      <left/>
      <right/>
      <top/>
      <bottom/>
      <diagonal/>
    </border>
    <border>
      <left style="thin">
        <color rgb="FF444444"/>
      </left>
      <right style="thin">
        <color rgb="FF444444"/>
      </right>
      <top style="thin">
        <color rgb="FF444444"/>
      </top>
      <bottom style="thin">
        <color rgb="FF44444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2" borderId="2" xfId="0" applyFont="1" applyFill="1" applyBorder="1" applyAlignment="1">
      <alignment horizontal="center"/>
    </xf>
    <xf numFmtId="0" fontId="2" fillId="2" borderId="0" xfId="0" applyFont="1" applyFill="1"/>
    <xf numFmtId="0" fontId="2" fillId="2" borderId="1" xfId="0" applyFont="1" applyFill="1" applyBorder="1"/>
    <xf numFmtId="164" fontId="2" fillId="2" borderId="0" xfId="0" applyNumberFormat="1" applyFont="1" applyFill="1"/>
    <xf numFmtId="0" fontId="0" fillId="2" borderId="1" xfId="0" applyFont="1" applyFill="1" applyBorder="1"/>
    <xf numFmtId="164" fontId="0" fillId="2" borderId="0" xfId="0" applyNumberFormat="1" applyFont="1" applyFill="1"/>
    <xf numFmtId="14" fontId="2" fillId="2" borderId="1" xfId="0" applyNumberFormat="1" applyFont="1" applyFill="1" applyBorder="1"/>
    <xf numFmtId="14" fontId="0" fillId="0" borderId="0" xfId="0" applyNumberFormat="1"/>
    <xf numFmtId="164" fontId="0" fillId="0" borderId="0" xfId="0" applyNumberFormat="1"/>
  </cellXfs>
  <cellStyles count="1">
    <cellStyle name="Normal" xfId="0" builtinId="0"/>
  </cellStyles>
  <dxfs count="5">
    <dxf>
      <numFmt numFmtId="164" formatCode="0.0"/>
    </dxf>
    <dxf>
      <numFmt numFmtId="164" formatCode="0.0"/>
    </dxf>
    <dxf>
      <numFmt numFmtId="164" formatCode="0.0"/>
    </dxf>
    <dxf>
      <numFmt numFmtId="164" formatCode="0.0"/>
    </dxf>
    <dxf>
      <numFmt numFmtId="19" formatCode="dd/mm/yyyy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Sheet2!$B$1</c:f>
              <c:strCache>
                <c:ptCount val="1"/>
                <c:pt idx="0">
                  <c:v>Values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Sheet2!$B$2:$B$11</c:f>
              <c:numCache>
                <c:formatCode>0.0</c:formatCode>
                <c:ptCount val="10"/>
                <c:pt idx="0">
                  <c:v>95</c:v>
                </c:pt>
                <c:pt idx="1">
                  <c:v>93.84615384615384</c:v>
                </c:pt>
                <c:pt idx="2">
                  <c:v>80.821382007822677</c:v>
                </c:pt>
                <c:pt idx="3">
                  <c:v>67.796610169491515</c:v>
                </c:pt>
                <c:pt idx="4">
                  <c:v>96.875</c:v>
                </c:pt>
                <c:pt idx="5">
                  <c:v>73.333333333333329</c:v>
                </c:pt>
                <c:pt idx="6">
                  <c:v>84.615384615384613</c:v>
                </c:pt>
                <c:pt idx="7">
                  <c:v>77.495543672014264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B18-4DB5-9B33-BF42B58D85D4}"/>
            </c:ext>
          </c:extLst>
        </c:ser>
        <c:ser>
          <c:idx val="1"/>
          <c:order val="1"/>
          <c:tx>
            <c:strRef>
              <c:f>Sheet2!$C$1</c:f>
              <c:strCache>
                <c:ptCount val="1"/>
                <c:pt idx="0">
                  <c:v>Forecast</c:v>
                </c:pt>
              </c:strCache>
            </c:strRef>
          </c:tx>
          <c:spPr>
            <a:ln w="2540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Sheet2!$A$2:$A$11</c:f>
              <c:numCache>
                <c:formatCode>m/d/yyyy</c:formatCode>
                <c:ptCount val="10"/>
                <c:pt idx="0">
                  <c:v>45990</c:v>
                </c:pt>
                <c:pt idx="1">
                  <c:v>45991</c:v>
                </c:pt>
                <c:pt idx="2">
                  <c:v>45992</c:v>
                </c:pt>
                <c:pt idx="3">
                  <c:v>45993</c:v>
                </c:pt>
                <c:pt idx="4">
                  <c:v>45994</c:v>
                </c:pt>
                <c:pt idx="5">
                  <c:v>45995</c:v>
                </c:pt>
                <c:pt idx="6">
                  <c:v>45996</c:v>
                </c:pt>
                <c:pt idx="7">
                  <c:v>45997</c:v>
                </c:pt>
                <c:pt idx="8">
                  <c:v>45998</c:v>
                </c:pt>
                <c:pt idx="9">
                  <c:v>45999</c:v>
                </c:pt>
              </c:numCache>
            </c:numRef>
          </c:cat>
          <c:val>
            <c:numRef>
              <c:f>Sheet2!$C$2:$C$11</c:f>
              <c:numCache>
                <c:formatCode>General</c:formatCode>
                <c:ptCount val="10"/>
                <c:pt idx="7" formatCode="0.0">
                  <c:v>77.495543672014264</c:v>
                </c:pt>
                <c:pt idx="8" formatCode="0.0">
                  <c:v>76.918129178079937</c:v>
                </c:pt>
                <c:pt idx="9" formatCode="0.0">
                  <c:v>74.963576733586876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B18-4DB5-9B33-BF42B58D85D4}"/>
            </c:ext>
          </c:extLst>
        </c:ser>
        <c:ser>
          <c:idx val="2"/>
          <c:order val="2"/>
          <c:tx>
            <c:strRef>
              <c:f>Sheet2!$D$1</c:f>
              <c:strCache>
                <c:ptCount val="1"/>
                <c:pt idx="0">
                  <c:v>Lower Confidence Bound</c:v>
                </c:pt>
              </c:strCache>
            </c:strRef>
          </c:tx>
          <c:spPr>
            <a:ln w="12700" cap="rnd">
              <a:solidFill>
                <a:srgbClr val="C0504D"/>
              </a:solidFill>
              <a:prstDash val="solid"/>
              <a:round/>
            </a:ln>
            <a:effectLst/>
          </c:spPr>
          <c:marker>
            <c:symbol val="none"/>
          </c:marker>
          <c:cat>
            <c:numRef>
              <c:f>Sheet2!$A$2:$A$11</c:f>
              <c:numCache>
                <c:formatCode>m/d/yyyy</c:formatCode>
                <c:ptCount val="10"/>
                <c:pt idx="0">
                  <c:v>45990</c:v>
                </c:pt>
                <c:pt idx="1">
                  <c:v>45991</c:v>
                </c:pt>
                <c:pt idx="2">
                  <c:v>45992</c:v>
                </c:pt>
                <c:pt idx="3">
                  <c:v>45993</c:v>
                </c:pt>
                <c:pt idx="4">
                  <c:v>45994</c:v>
                </c:pt>
                <c:pt idx="5">
                  <c:v>45995</c:v>
                </c:pt>
                <c:pt idx="6">
                  <c:v>45996</c:v>
                </c:pt>
                <c:pt idx="7">
                  <c:v>45997</c:v>
                </c:pt>
                <c:pt idx="8">
                  <c:v>45998</c:v>
                </c:pt>
                <c:pt idx="9">
                  <c:v>45999</c:v>
                </c:pt>
              </c:numCache>
            </c:numRef>
          </c:cat>
          <c:val>
            <c:numRef>
              <c:f>Sheet2!$D$2:$D$11</c:f>
              <c:numCache>
                <c:formatCode>General</c:formatCode>
                <c:ptCount val="10"/>
                <c:pt idx="7" formatCode="0.0">
                  <c:v>77.495543672014264</c:v>
                </c:pt>
                <c:pt idx="8" formatCode="0.0">
                  <c:v>57.202068558456375</c:v>
                </c:pt>
                <c:pt idx="9" formatCode="0.0">
                  <c:v>55.147209504638084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B18-4DB5-9B33-BF42B58D85D4}"/>
            </c:ext>
          </c:extLst>
        </c:ser>
        <c:ser>
          <c:idx val="3"/>
          <c:order val="3"/>
          <c:tx>
            <c:strRef>
              <c:f>Sheet2!$E$1</c:f>
              <c:strCache>
                <c:ptCount val="1"/>
                <c:pt idx="0">
                  <c:v>Upper Confidence Bound</c:v>
                </c:pt>
              </c:strCache>
            </c:strRef>
          </c:tx>
          <c:spPr>
            <a:ln w="12700" cap="rnd">
              <a:solidFill>
                <a:srgbClr val="C0504D"/>
              </a:solidFill>
              <a:prstDash val="solid"/>
              <a:round/>
            </a:ln>
            <a:effectLst/>
          </c:spPr>
          <c:marker>
            <c:symbol val="none"/>
          </c:marker>
          <c:cat>
            <c:numRef>
              <c:f>Sheet2!$A$2:$A$11</c:f>
              <c:numCache>
                <c:formatCode>m/d/yyyy</c:formatCode>
                <c:ptCount val="10"/>
                <c:pt idx="0">
                  <c:v>45990</c:v>
                </c:pt>
                <c:pt idx="1">
                  <c:v>45991</c:v>
                </c:pt>
                <c:pt idx="2">
                  <c:v>45992</c:v>
                </c:pt>
                <c:pt idx="3">
                  <c:v>45993</c:v>
                </c:pt>
                <c:pt idx="4">
                  <c:v>45994</c:v>
                </c:pt>
                <c:pt idx="5">
                  <c:v>45995</c:v>
                </c:pt>
                <c:pt idx="6">
                  <c:v>45996</c:v>
                </c:pt>
                <c:pt idx="7">
                  <c:v>45997</c:v>
                </c:pt>
                <c:pt idx="8">
                  <c:v>45998</c:v>
                </c:pt>
                <c:pt idx="9">
                  <c:v>45999</c:v>
                </c:pt>
              </c:numCache>
            </c:numRef>
          </c:cat>
          <c:val>
            <c:numRef>
              <c:f>Sheet2!$E$2:$E$11</c:f>
              <c:numCache>
                <c:formatCode>General</c:formatCode>
                <c:ptCount val="10"/>
                <c:pt idx="7" formatCode="0.0">
                  <c:v>77.495543672014264</c:v>
                </c:pt>
                <c:pt idx="8" formatCode="0.0">
                  <c:v>96.634189797703499</c:v>
                </c:pt>
                <c:pt idx="9" formatCode="0.0">
                  <c:v>94.779943962535668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B18-4DB5-9B33-BF42B58D85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1044048"/>
        <c:axId val="131044528"/>
      </c:lineChart>
      <c:catAx>
        <c:axId val="131044048"/>
        <c:scaling>
          <c:orientation val="minMax"/>
        </c:scaling>
        <c:delete val="0"/>
        <c:axPos val="b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1044528"/>
        <c:crosses val="autoZero"/>
        <c:auto val="1"/>
        <c:lblAlgn val="ctr"/>
        <c:lblOffset val="100"/>
        <c:noMultiLvlLbl val="0"/>
      </c:catAx>
      <c:valAx>
        <c:axId val="131044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10440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85725</xdr:colOff>
      <xdr:row>8</xdr:row>
      <xdr:rowOff>85725</xdr:rowOff>
    </xdr:from>
    <xdr:to>
      <xdr:col>15</xdr:col>
      <xdr:colOff>123825</xdr:colOff>
      <xdr:row>23</xdr:row>
      <xdr:rowOff>161925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AB48D90-AA89-EE21-3A9D-AE20397A68D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E37DE63-4DEF-4577-BCE6-2E42C58ACF02}" name="Table1" displayName="Table1" ref="A1:E11" totalsRowShown="0">
  <autoFilter ref="A1:E11" xr:uid="{3E37DE63-4DEF-4577-BCE6-2E42C58ACF02}"/>
  <tableColumns count="5">
    <tableColumn id="1" xr3:uid="{B07C538B-4709-4C36-B464-D146BF0363D6}" name="Timeline" dataDxfId="4"/>
    <tableColumn id="2" xr3:uid="{265029A5-9328-4423-A4E0-3AB5F348F5DB}" name="Values" dataDxfId="3"/>
    <tableColumn id="3" xr3:uid="{84412D67-589C-4961-B53B-B03265224F8E}" name="Forecast" dataDxfId="2"/>
    <tableColumn id="4" xr3:uid="{4CB43E31-9D11-43B1-8893-47377B402738}" name="Lower Confidence Bound" dataDxfId="1"/>
    <tableColumn id="5" xr3:uid="{FE03A2E6-DD4B-44A8-8A5A-DA849C3EF5CA}" name="Upper Confidence Bound" dataDxfId="0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5FC07B-4B07-448B-8A6E-51963D81B1BA}">
  <dimension ref="A1:E11"/>
  <sheetViews>
    <sheetView tabSelected="1" workbookViewId="0">
      <selection activeCell="K4" sqref="K4"/>
    </sheetView>
  </sheetViews>
  <sheetFormatPr defaultRowHeight="15" x14ac:dyDescent="0.25"/>
  <cols>
    <col min="1" max="1" width="11" customWidth="1"/>
    <col min="2" max="2" width="9.28515625" bestFit="1" customWidth="1"/>
    <col min="3" max="3" width="10.5703125" customWidth="1"/>
    <col min="4" max="4" width="25.28515625" customWidth="1"/>
    <col min="5" max="5" width="25.42578125" customWidth="1"/>
  </cols>
  <sheetData>
    <row r="1" spans="1:5" x14ac:dyDescent="0.25">
      <c r="A1" t="s">
        <v>44</v>
      </c>
      <c r="B1" t="s">
        <v>45</v>
      </c>
      <c r="C1" t="s">
        <v>46</v>
      </c>
      <c r="D1" t="s">
        <v>47</v>
      </c>
      <c r="E1" t="s">
        <v>48</v>
      </c>
    </row>
    <row r="2" spans="1:5" x14ac:dyDescent="0.25">
      <c r="A2" s="8">
        <v>45990</v>
      </c>
      <c r="B2" s="9">
        <v>95</v>
      </c>
    </row>
    <row r="3" spans="1:5" x14ac:dyDescent="0.25">
      <c r="A3" s="8">
        <v>45991</v>
      </c>
      <c r="B3" s="9">
        <v>93.84615384615384</v>
      </c>
    </row>
    <row r="4" spans="1:5" x14ac:dyDescent="0.25">
      <c r="A4" s="8">
        <v>45992</v>
      </c>
      <c r="B4" s="9">
        <v>80.821382007822677</v>
      </c>
    </row>
    <row r="5" spans="1:5" x14ac:dyDescent="0.25">
      <c r="A5" s="8">
        <v>45993</v>
      </c>
      <c r="B5" s="9">
        <v>67.796610169491515</v>
      </c>
    </row>
    <row r="6" spans="1:5" x14ac:dyDescent="0.25">
      <c r="A6" s="8">
        <v>45994</v>
      </c>
      <c r="B6" s="9">
        <v>96.875</v>
      </c>
    </row>
    <row r="7" spans="1:5" x14ac:dyDescent="0.25">
      <c r="A7" s="8">
        <v>45995</v>
      </c>
      <c r="B7" s="9">
        <v>73.333333333333329</v>
      </c>
    </row>
    <row r="8" spans="1:5" x14ac:dyDescent="0.25">
      <c r="A8" s="8">
        <v>45996</v>
      </c>
      <c r="B8" s="9">
        <v>84.615384615384613</v>
      </c>
    </row>
    <row r="9" spans="1:5" x14ac:dyDescent="0.25">
      <c r="A9" s="8">
        <v>45997</v>
      </c>
      <c r="B9" s="9">
        <v>77.495543672014264</v>
      </c>
      <c r="C9" s="9">
        <v>77.495543672014264</v>
      </c>
      <c r="D9" s="9">
        <v>77.495543672014264</v>
      </c>
      <c r="E9" s="9">
        <v>77.495543672014264</v>
      </c>
    </row>
    <row r="10" spans="1:5" x14ac:dyDescent="0.25">
      <c r="A10" s="8">
        <v>45998</v>
      </c>
      <c r="C10" s="9">
        <f>_xlfn.FORECAST.ETS(A10,$B$2:$B$9,$A$2:$A$9,1,1)</f>
        <v>76.918129178079937</v>
      </c>
      <c r="D10" s="9">
        <f>C10-_xlfn.FORECAST.ETS.CONFINT(A10,$B$2:$B$9,$A$2:$A$9,0.95,1,1)</f>
        <v>57.202068558456375</v>
      </c>
      <c r="E10" s="9">
        <f>C10+_xlfn.FORECAST.ETS.CONFINT(A10,$B$2:$B$9,$A$2:$A$9,0.95,1,1)</f>
        <v>96.634189797703499</v>
      </c>
    </row>
    <row r="11" spans="1:5" x14ac:dyDescent="0.25">
      <c r="A11" s="8">
        <v>45999</v>
      </c>
      <c r="C11" s="9">
        <f>_xlfn.FORECAST.ETS(A11,$B$2:$B$9,$A$2:$A$9,1,1)</f>
        <v>74.963576733586876</v>
      </c>
      <c r="D11" s="9">
        <f>C11-_xlfn.FORECAST.ETS.CONFINT(A11,$B$2:$B$9,$A$2:$A$9,0.95,1,1)</f>
        <v>55.147209504638084</v>
      </c>
      <c r="E11" s="9">
        <f>C11+_xlfn.FORECAST.ETS.CONFINT(A11,$B$2:$B$9,$A$2:$A$9,0.95,1,1)</f>
        <v>94.779943962535668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11"/>
  <sheetViews>
    <sheetView workbookViewId="0">
      <selection activeCell="F2" sqref="F2:F11"/>
    </sheetView>
  </sheetViews>
  <sheetFormatPr defaultRowHeight="15" x14ac:dyDescent="0.25"/>
  <cols>
    <col min="1" max="1" width="20.140625" style="3" customWidth="1"/>
    <col min="2" max="2" width="10.140625" style="2" bestFit="1" customWidth="1"/>
    <col min="3" max="3" width="51.140625" style="2" bestFit="1" customWidth="1"/>
    <col min="4" max="4" width="10.7109375" style="3" customWidth="1"/>
    <col min="5" max="6" width="12.7109375" style="4" customWidth="1"/>
    <col min="7" max="10" width="10.7109375" style="3" customWidth="1"/>
    <col min="11" max="11" width="12.7109375" style="4" customWidth="1"/>
    <col min="12" max="15" width="10.7109375" style="3" customWidth="1"/>
    <col min="16" max="16" width="12.7109375" style="4" customWidth="1"/>
    <col min="17" max="20" width="10.7109375" style="3" customWidth="1"/>
    <col min="21" max="21" width="12.7109375" style="4" customWidth="1"/>
    <col min="22" max="24" width="10.7109375" style="3" customWidth="1"/>
    <col min="25" max="16384" width="9.140625" style="2"/>
  </cols>
  <sheetData>
    <row r="1" spans="1:24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</row>
    <row r="2" spans="1:24" x14ac:dyDescent="0.25">
      <c r="A2" s="7">
        <v>45997</v>
      </c>
      <c r="B2" s="2" t="s">
        <v>26</v>
      </c>
      <c r="C2" s="2" t="s">
        <v>36</v>
      </c>
      <c r="D2" s="5">
        <v>164</v>
      </c>
      <c r="E2" s="6">
        <v>93</v>
      </c>
      <c r="F2" s="6">
        <v>69.696969696969703</v>
      </c>
      <c r="G2" s="5">
        <v>46</v>
      </c>
      <c r="H2" s="5">
        <v>20</v>
      </c>
      <c r="I2" s="3">
        <v>9</v>
      </c>
      <c r="J2" s="5">
        <v>71</v>
      </c>
      <c r="K2" s="6">
        <v>79.166666666666657</v>
      </c>
      <c r="L2" s="5">
        <v>19</v>
      </c>
      <c r="M2" s="5">
        <v>5</v>
      </c>
      <c r="N2" s="3">
        <v>1</v>
      </c>
      <c r="O2" s="5">
        <v>43</v>
      </c>
      <c r="P2" s="6">
        <v>59.090909090909093</v>
      </c>
      <c r="Q2" s="5">
        <v>13</v>
      </c>
      <c r="R2" s="5">
        <v>9</v>
      </c>
      <c r="S2" s="3">
        <v>3</v>
      </c>
      <c r="T2" s="5">
        <v>50</v>
      </c>
      <c r="U2" s="6">
        <v>70</v>
      </c>
      <c r="V2" s="5">
        <v>14</v>
      </c>
      <c r="W2" s="5">
        <v>6</v>
      </c>
      <c r="X2" s="3">
        <v>5</v>
      </c>
    </row>
    <row r="3" spans="1:24" x14ac:dyDescent="0.25">
      <c r="A3" s="7">
        <v>45997</v>
      </c>
      <c r="B3" s="2" t="s">
        <v>27</v>
      </c>
      <c r="C3" s="2" t="s">
        <v>37</v>
      </c>
      <c r="D3" s="5">
        <v>222</v>
      </c>
      <c r="E3" s="6">
        <v>98</v>
      </c>
      <c r="F3" s="6">
        <v>85.294117647058826</v>
      </c>
      <c r="G3" s="5">
        <v>58</v>
      </c>
      <c r="H3" s="5">
        <v>10</v>
      </c>
      <c r="I3" s="3">
        <v>7</v>
      </c>
      <c r="J3" s="5">
        <v>62</v>
      </c>
      <c r="K3" s="6">
        <v>73.91304347826086</v>
      </c>
      <c r="L3" s="5">
        <v>17</v>
      </c>
      <c r="M3" s="5">
        <v>6</v>
      </c>
      <c r="N3" s="3">
        <v>2</v>
      </c>
      <c r="O3" s="5">
        <v>78</v>
      </c>
      <c r="P3" s="6">
        <v>90.909090909090907</v>
      </c>
      <c r="Q3" s="5">
        <v>20</v>
      </c>
      <c r="R3" s="5">
        <v>2</v>
      </c>
      <c r="S3" s="3">
        <v>3</v>
      </c>
      <c r="T3" s="5">
        <v>82</v>
      </c>
      <c r="U3" s="6">
        <v>91.304347826086953</v>
      </c>
      <c r="V3" s="5">
        <v>21</v>
      </c>
      <c r="W3" s="5">
        <v>2</v>
      </c>
      <c r="X3" s="3">
        <v>2</v>
      </c>
    </row>
    <row r="4" spans="1:24" x14ac:dyDescent="0.25">
      <c r="A4" s="7">
        <v>45996</v>
      </c>
      <c r="B4" s="2" t="s">
        <v>28</v>
      </c>
      <c r="C4" s="2" t="s">
        <v>38</v>
      </c>
      <c r="D4" s="5">
        <v>210</v>
      </c>
      <c r="E4" s="6">
        <v>98</v>
      </c>
      <c r="F4" s="6">
        <v>84.615384615384613</v>
      </c>
      <c r="G4" s="5">
        <v>55</v>
      </c>
      <c r="H4" s="5">
        <v>10</v>
      </c>
      <c r="I4" s="3">
        <v>10</v>
      </c>
      <c r="J4" s="5">
        <v>71</v>
      </c>
      <c r="K4" s="6">
        <v>79.166666666666657</v>
      </c>
      <c r="L4" s="5">
        <v>19</v>
      </c>
      <c r="M4" s="5">
        <v>5</v>
      </c>
      <c r="N4" s="3">
        <v>1</v>
      </c>
      <c r="O4" s="5">
        <v>71</v>
      </c>
      <c r="P4" s="6">
        <v>79.166666666666657</v>
      </c>
      <c r="Q4" s="5">
        <v>19</v>
      </c>
      <c r="R4" s="5">
        <v>5</v>
      </c>
      <c r="S4" s="3">
        <v>1</v>
      </c>
      <c r="T4" s="5">
        <v>68</v>
      </c>
      <c r="U4" s="6">
        <v>100</v>
      </c>
      <c r="V4" s="5">
        <v>17</v>
      </c>
      <c r="W4" s="5">
        <v>0</v>
      </c>
      <c r="X4" s="3">
        <v>8</v>
      </c>
    </row>
    <row r="5" spans="1:24" x14ac:dyDescent="0.25">
      <c r="A5" s="7">
        <v>45995</v>
      </c>
      <c r="B5" s="2" t="s">
        <v>29</v>
      </c>
      <c r="C5" s="2" t="s">
        <v>39</v>
      </c>
      <c r="D5" s="5">
        <v>160</v>
      </c>
      <c r="E5" s="6">
        <v>92</v>
      </c>
      <c r="F5" s="6">
        <v>73.333333333333329</v>
      </c>
      <c r="G5" s="5">
        <v>44</v>
      </c>
      <c r="H5" s="5">
        <v>16</v>
      </c>
      <c r="I5" s="3">
        <v>15</v>
      </c>
      <c r="J5" s="5">
        <v>54</v>
      </c>
      <c r="K5" s="6">
        <v>71.428571428571431</v>
      </c>
      <c r="L5" s="5">
        <v>15</v>
      </c>
      <c r="M5" s="5">
        <v>6</v>
      </c>
      <c r="N5" s="3">
        <v>4</v>
      </c>
      <c r="O5" s="5">
        <v>64</v>
      </c>
      <c r="P5" s="6">
        <v>80.952380952380949</v>
      </c>
      <c r="Q5" s="5">
        <v>17</v>
      </c>
      <c r="R5" s="5">
        <v>4</v>
      </c>
      <c r="S5" s="3">
        <v>4</v>
      </c>
      <c r="T5" s="5">
        <v>42</v>
      </c>
      <c r="U5" s="6">
        <v>66.666666666666657</v>
      </c>
      <c r="V5" s="5">
        <v>12</v>
      </c>
      <c r="W5" s="5">
        <v>6</v>
      </c>
      <c r="X5" s="3">
        <v>7</v>
      </c>
    </row>
    <row r="6" spans="1:24" x14ac:dyDescent="0.25">
      <c r="A6" s="7">
        <v>45994</v>
      </c>
      <c r="B6" s="2" t="s">
        <v>32</v>
      </c>
      <c r="C6" s="2" t="s">
        <v>42</v>
      </c>
      <c r="D6" s="5">
        <v>246</v>
      </c>
      <c r="E6" s="6">
        <v>99</v>
      </c>
      <c r="F6" s="6">
        <v>96.875</v>
      </c>
      <c r="G6" s="5">
        <v>62</v>
      </c>
      <c r="H6" s="5">
        <v>2</v>
      </c>
      <c r="I6" s="3">
        <v>11</v>
      </c>
      <c r="J6" s="5">
        <v>96</v>
      </c>
      <c r="K6" s="6">
        <v>100</v>
      </c>
      <c r="L6" s="5">
        <v>24</v>
      </c>
      <c r="M6" s="5">
        <v>0</v>
      </c>
      <c r="N6" s="3">
        <v>1</v>
      </c>
      <c r="O6" s="5">
        <v>96</v>
      </c>
      <c r="P6" s="6">
        <v>100</v>
      </c>
      <c r="Q6" s="5">
        <v>24</v>
      </c>
      <c r="R6" s="5">
        <v>0</v>
      </c>
      <c r="S6" s="3">
        <v>1</v>
      </c>
      <c r="T6" s="5">
        <v>54</v>
      </c>
      <c r="U6" s="6">
        <v>87.5</v>
      </c>
      <c r="V6" s="5">
        <v>14</v>
      </c>
      <c r="W6" s="5">
        <v>2</v>
      </c>
      <c r="X6" s="3">
        <v>9</v>
      </c>
    </row>
    <row r="7" spans="1:24" x14ac:dyDescent="0.25">
      <c r="A7" s="7">
        <v>45993</v>
      </c>
      <c r="B7" s="2" t="s">
        <v>30</v>
      </c>
      <c r="C7" s="2" t="s">
        <v>40</v>
      </c>
      <c r="D7" s="5">
        <v>141</v>
      </c>
      <c r="E7" s="6">
        <v>88</v>
      </c>
      <c r="F7" s="6">
        <v>67.796610169491515</v>
      </c>
      <c r="G7" s="5">
        <v>40</v>
      </c>
      <c r="H7" s="5">
        <v>19</v>
      </c>
      <c r="I7" s="3">
        <v>16</v>
      </c>
      <c r="J7" s="5">
        <v>57</v>
      </c>
      <c r="K7" s="6">
        <v>69.565217391304344</v>
      </c>
      <c r="L7" s="5">
        <v>16</v>
      </c>
      <c r="M7" s="5">
        <v>7</v>
      </c>
      <c r="N7" s="3">
        <v>2</v>
      </c>
      <c r="O7" s="5">
        <v>45</v>
      </c>
      <c r="P7" s="6">
        <v>65</v>
      </c>
      <c r="Q7" s="5">
        <v>13</v>
      </c>
      <c r="R7" s="5">
        <v>7</v>
      </c>
      <c r="S7" s="3">
        <v>5</v>
      </c>
      <c r="T7" s="5">
        <v>39</v>
      </c>
      <c r="U7" s="6">
        <v>68.75</v>
      </c>
      <c r="V7" s="5">
        <v>11</v>
      </c>
      <c r="W7" s="5">
        <v>5</v>
      </c>
      <c r="X7" s="3">
        <v>9</v>
      </c>
    </row>
    <row r="8" spans="1:24" x14ac:dyDescent="0.25">
      <c r="A8" s="7">
        <v>45991</v>
      </c>
      <c r="B8" s="2" t="s">
        <v>31</v>
      </c>
      <c r="C8" s="2" t="s">
        <v>41</v>
      </c>
      <c r="D8" s="5">
        <v>240</v>
      </c>
      <c r="E8" s="6">
        <v>99</v>
      </c>
      <c r="F8" s="6">
        <v>93.84615384615384</v>
      </c>
      <c r="G8" s="5">
        <v>61</v>
      </c>
      <c r="H8" s="5">
        <v>4</v>
      </c>
      <c r="I8" s="3">
        <v>10</v>
      </c>
      <c r="J8" s="5">
        <v>95</v>
      </c>
      <c r="K8" s="6">
        <v>96</v>
      </c>
      <c r="L8" s="5">
        <v>24</v>
      </c>
      <c r="M8" s="5">
        <v>1</v>
      </c>
      <c r="N8" s="3">
        <v>0</v>
      </c>
      <c r="O8" s="5">
        <v>77</v>
      </c>
      <c r="P8" s="6">
        <v>86.956521739130437</v>
      </c>
      <c r="Q8" s="5">
        <v>20</v>
      </c>
      <c r="R8" s="5">
        <v>3</v>
      </c>
      <c r="S8" s="3">
        <v>2</v>
      </c>
      <c r="T8" s="5">
        <v>68</v>
      </c>
      <c r="U8" s="6">
        <v>100</v>
      </c>
      <c r="V8" s="5">
        <v>17</v>
      </c>
      <c r="W8" s="5">
        <v>0</v>
      </c>
      <c r="X8" s="3">
        <v>8</v>
      </c>
    </row>
    <row r="9" spans="1:24" x14ac:dyDescent="0.25">
      <c r="A9" s="7">
        <v>45990</v>
      </c>
      <c r="B9" s="2" t="s">
        <v>33</v>
      </c>
      <c r="C9" s="2" t="s">
        <v>43</v>
      </c>
      <c r="D9" s="5">
        <v>225</v>
      </c>
      <c r="E9" s="6">
        <v>98</v>
      </c>
      <c r="F9" s="6">
        <v>95</v>
      </c>
      <c r="G9" s="5">
        <v>57</v>
      </c>
      <c r="H9" s="5">
        <v>3</v>
      </c>
      <c r="I9" s="3">
        <v>15</v>
      </c>
      <c r="J9" s="5">
        <v>91</v>
      </c>
      <c r="K9" s="6">
        <v>95.833333333333343</v>
      </c>
      <c r="L9" s="5">
        <v>23</v>
      </c>
      <c r="M9" s="5">
        <v>1</v>
      </c>
      <c r="N9" s="3">
        <v>1</v>
      </c>
      <c r="O9" s="5">
        <v>67</v>
      </c>
      <c r="P9" s="6">
        <v>94.444444444444443</v>
      </c>
      <c r="Q9" s="5">
        <v>17</v>
      </c>
      <c r="R9" s="5">
        <v>1</v>
      </c>
      <c r="S9" s="3">
        <v>7</v>
      </c>
      <c r="T9" s="5">
        <v>67</v>
      </c>
      <c r="U9" s="6">
        <v>94.444444444444443</v>
      </c>
      <c r="V9" s="5">
        <v>17</v>
      </c>
      <c r="W9" s="5">
        <v>1</v>
      </c>
      <c r="X9" s="3">
        <v>7</v>
      </c>
    </row>
    <row r="10" spans="1:24" x14ac:dyDescent="0.25">
      <c r="B10" s="2" t="s">
        <v>24</v>
      </c>
      <c r="C10" s="2" t="s">
        <v>34</v>
      </c>
      <c r="D10" s="5">
        <v>193</v>
      </c>
      <c r="E10" s="6">
        <v>96</v>
      </c>
      <c r="F10" s="6">
        <v>77.611940298507463</v>
      </c>
      <c r="G10" s="5">
        <v>52</v>
      </c>
      <c r="H10" s="5">
        <v>15</v>
      </c>
      <c r="I10" s="3">
        <v>8</v>
      </c>
      <c r="J10" s="5">
        <v>67</v>
      </c>
      <c r="K10" s="6">
        <v>78.260869565217391</v>
      </c>
      <c r="L10" s="5">
        <v>18</v>
      </c>
      <c r="M10" s="5">
        <v>5</v>
      </c>
      <c r="N10" s="3">
        <v>2</v>
      </c>
      <c r="O10" s="5">
        <v>63</v>
      </c>
      <c r="P10" s="6">
        <v>77.272727272727266</v>
      </c>
      <c r="Q10" s="5">
        <v>17</v>
      </c>
      <c r="R10" s="5">
        <v>5</v>
      </c>
      <c r="S10" s="3">
        <v>3</v>
      </c>
      <c r="T10" s="5">
        <v>63</v>
      </c>
      <c r="U10" s="6">
        <v>77.272727272727266</v>
      </c>
      <c r="V10" s="5">
        <v>17</v>
      </c>
      <c r="W10" s="5">
        <v>5</v>
      </c>
      <c r="X10" s="3">
        <v>3</v>
      </c>
    </row>
    <row r="11" spans="1:24" x14ac:dyDescent="0.25">
      <c r="B11" s="2" t="s">
        <v>25</v>
      </c>
      <c r="C11" s="2" t="s">
        <v>35</v>
      </c>
      <c r="D11" s="5">
        <v>178</v>
      </c>
      <c r="E11" s="6">
        <v>95</v>
      </c>
      <c r="F11" s="6">
        <v>77.41935483870968</v>
      </c>
      <c r="G11" s="5">
        <v>48</v>
      </c>
      <c r="H11" s="5">
        <v>14</v>
      </c>
      <c r="I11" s="3">
        <v>13</v>
      </c>
      <c r="J11" s="5">
        <v>90</v>
      </c>
      <c r="K11" s="6">
        <v>92</v>
      </c>
      <c r="L11" s="5">
        <v>23</v>
      </c>
      <c r="M11" s="5">
        <v>2</v>
      </c>
      <c r="N11" s="3">
        <v>0</v>
      </c>
      <c r="O11" s="5">
        <v>40</v>
      </c>
      <c r="P11" s="6">
        <v>60</v>
      </c>
      <c r="Q11" s="5">
        <v>12</v>
      </c>
      <c r="R11" s="5">
        <v>8</v>
      </c>
      <c r="S11" s="3">
        <v>5</v>
      </c>
      <c r="T11" s="5">
        <v>48</v>
      </c>
      <c r="U11" s="6">
        <v>76.470588235294116</v>
      </c>
      <c r="V11" s="5">
        <v>13</v>
      </c>
      <c r="W11" s="5">
        <v>4</v>
      </c>
      <c r="X11" s="3">
        <v>8</v>
      </c>
    </row>
  </sheetData>
  <sortState xmlns:xlrd2="http://schemas.microsoft.com/office/spreadsheetml/2017/richdata2" ref="A2:X11">
    <sortCondition descending="1" ref="A2:A11"/>
  </sortState>
  <conditionalFormatting sqref="D2:D11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2:E11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2:F11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2:G11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2:H11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2:J11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2:K11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2:L11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2:M11"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O2:O11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11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Q2:Q11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:R11">
    <cfRule type="colorScale" priority="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T2:T11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U2:U11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2:V11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W2:W11">
    <cfRule type="colorScale" priority="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Sheet2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HP</cp:lastModifiedBy>
  <dcterms:created xsi:type="dcterms:W3CDTF">2025-12-07T11:24:03Z</dcterms:created>
  <dcterms:modified xsi:type="dcterms:W3CDTF">2025-12-07T11:32:51Z</dcterms:modified>
</cp:coreProperties>
</file>