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<sst xmlns="http://schemas.openxmlformats.org/spreadsheetml/2006/main" count="142" uniqueCount="140">
  <si>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</si>
  <si>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</si>
  <si>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</si>
  <si>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</si>
  <si>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</si>
  <si>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</si>
  <si>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</si>
  <si>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</si>
  <si>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</si>
  <si>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</si>
  <si>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</si>
  <si>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</si>
  <si>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</si>
  <si>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</si>
  <si>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</si>
  <si>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</si>
  <si>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</si>
  <si>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</si>
  <si>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</si>
  <si>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</si>
  <si>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</si>
  <si>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</si>
  <si>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</si>
  <si>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</si>
  <si>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</si>
  <si>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</si>
  <si>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JEE MAINS 24 Jan Shift 1 | 27th Dec,2024 | Online Mode</t>
  </si>
  <si>
    <t>6015 to 6181</t>
  </si>
  <si>
    <t>self2.html</t>
  </si>
  <si>
    <t>JEE MAINS 24 Jan Shift 2 | 27th Dec,2024 | Online Mode</t>
  </si>
  <si>
    <t>9675 to 9946</t>
  </si>
  <si>
    <t>self3.mhtml</t>
  </si>
  <si>
    <t>JEE MAINS 25 Jan Shift 1 | 27th Dec,2024 | Online Mode</t>
  </si>
  <si>
    <t>18256 to 18670</t>
  </si>
  <si>
    <t>test1.html</t>
  </si>
  <si>
    <t>JEE MAINS 01 Feb Shift 1 | 10th Dec,2024 | Online Mode</t>
  </si>
  <si>
    <t>14633 to 15019</t>
  </si>
  <si>
    <t>test2.html</t>
  </si>
  <si>
    <t>JEE MAINS 01 Feb Shift 2 | 10th Dec,2024 | Online Mode</t>
  </si>
  <si>
    <t>2116 to 2203</t>
  </si>
  <si>
    <t>test3.html</t>
  </si>
  <si>
    <t>JEE MAINS 05 Apr Shift 1 | 10th Dec,2024 | Online Mode</t>
  </si>
  <si>
    <t>3392 to 3534</t>
  </si>
  <si>
    <t>test4.html</t>
  </si>
  <si>
    <t>JEE MAINS 08 Apr Shift 1 | 10th Dec,2024 | Online Mode</t>
  </si>
  <si>
    <t>16181 to 16595</t>
  </si>
  <si>
    <t>test5.html</t>
  </si>
  <si>
    <t>JEE MAINS 08 Apr Shift 2 | 10th Dec,2024 | Online Mode</t>
  </si>
  <si>
    <t>25970 to 26656</t>
  </si>
  <si>
    <t>test6.html</t>
  </si>
  <si>
    <t>JEE MAINS 27 Jan Shift 1 | 1st Jan,1 | Online Mode</t>
  </si>
  <si>
    <t>992 to 1033</t>
  </si>
  <si>
    <t>test7.html</t>
  </si>
  <si>
    <t>JEE MAINS 29 Jan Shift 2 | 10th Dec,2024 | Online Mode</t>
  </si>
  <si>
    <t>740 to 781</t>
  </si>
  <si>
    <t>test8.html</t>
  </si>
  <si>
    <t>JEE MAINS 31 Jan Shift 1 | 10th Dec,2024 | Online Mode</t>
  </si>
  <si>
    <t>1852 to 1939</t>
  </si>
  <si>
    <t>test9.mhtml</t>
  </si>
  <si>
    <t>JEE MAINS 09 Apr Shift 1 | 10th Dec,2024 | Online Mode</t>
  </si>
  <si>
    <t>1676 to 1763</t>
  </si>
  <si>
    <t>test10.mhtml</t>
  </si>
  <si>
    <t>JEE MAINS 27 Jan Shift 2 | 5th Dec,2024 | Online Mode</t>
  </si>
  <si>
    <t>1500 to 1587</t>
  </si>
  <si>
    <t>test11.mhtml</t>
  </si>
  <si>
    <t>JEE MAINS 09 Apr Shift 2 | 10th Dec,2024 | Online Mode</t>
  </si>
  <si>
    <t>2963 to 3105</t>
  </si>
  <si>
    <t>test12.mhtml</t>
  </si>
  <si>
    <t>JEE MAINS 11 April Shift 1 | 2nd Dec,2025 | Online Mode</t>
  </si>
  <si>
    <t>test13.mht</t>
  </si>
  <si>
    <t>JEE MAINS 11 April Shift 2 | 2nd Dec,2025 | Online Mode</t>
  </si>
  <si>
    <t>test14.mht</t>
  </si>
  <si>
    <t>JEE MAINS 04 Apr Shift 2 | 10th Dec,2024 | Online Mode</t>
  </si>
  <si>
    <t>131 to 151</t>
  </si>
  <si>
    <t>test15.mht</t>
  </si>
  <si>
    <t>JEE MAINS 04 Apr Shift 1 | 10th Dec,2024 | Online Mode</t>
  </si>
  <si>
    <t>1764 to 1851</t>
  </si>
  <si>
    <t>test16.mht</t>
  </si>
  <si>
    <t>JEE MAINS 05 Apr Shift 2 | 10th Dec,2024 | Online Mode</t>
  </si>
  <si>
    <t>test17.mht</t>
  </si>
  <si>
    <t>JEE MAINS 06 Apr Shift 1 | 10th Dec,2024 | Online Mode</t>
  </si>
  <si>
    <t>5848 to 6014</t>
  </si>
  <si>
    <t>test18.mht</t>
  </si>
  <si>
    <t>JEE MAINS 31 Jan Shift 2 | 10th Dec,2024 | Online Mode</t>
  </si>
  <si>
    <t>2556 to 2643</t>
  </si>
  <si>
    <t>test19.mht</t>
  </si>
  <si>
    <t>JEE MAINS 29 Jan Shift 1 | 5th Dec,2024 | Online Mode</t>
  </si>
  <si>
    <t>1286 to 1327</t>
  </si>
  <si>
    <t>test20.mht</t>
  </si>
  <si>
    <t>JEE MAINS 06 Apr Shift 2 | 10th Dec,2024 | Online Mode</t>
  </si>
  <si>
    <t>1412 to 1499</t>
  </si>
  <si>
    <t>test21.mht</t>
  </si>
  <si>
    <t>JEE MAINS 30 Jan Shift 2 | 10th Dec,2024 | Online Mode</t>
  </si>
  <si>
    <t>3964 to 4106</t>
  </si>
  <si>
    <t>test22.mht</t>
  </si>
  <si>
    <t>JEE MAINS 30 Jan Shift 1 | 10th Dec,2024 | Online Mode</t>
  </si>
  <si>
    <t>4107 to 4249</t>
  </si>
  <si>
    <t>test23.mhtml</t>
  </si>
  <si>
    <t>JEE MAINS 24 Jan Shift 1 | 1st Jan,1 | Online Mode</t>
  </si>
  <si>
    <t>16596 to 17010</t>
  </si>
  <si>
    <t>test24.mhtml</t>
  </si>
  <si>
    <t>JEE MAINS 24 Jan Shift 2 | 1st Jan,1 | Online Mode</t>
  </si>
  <si>
    <t>7227 to 7498</t>
  </si>
  <si>
    <t>test25.mhtml</t>
  </si>
  <si>
    <t>JEE MAINS 28 Jan Shift 1 | 1st Jan,1 | Online Mode</t>
  </si>
  <si>
    <t>19086 to 19500</t>
  </si>
  <si>
    <t>test26.mhtml</t>
  </si>
  <si>
    <t>JEE MAINS 28 Jan Shift 2 | 1st Jan,1 | Online Mode</t>
  </si>
  <si>
    <t>614 to 655</t>
  </si>
  <si>
    <t>test27.mhtml</t>
  </si>
  <si>
    <t>JEE MAINS 03 April Shift 1 | 1st Jan,1 | Online Mode</t>
  </si>
  <si>
    <t>test28.mhtml</t>
  </si>
  <si>
    <t>JEE MAINS 03 April Shift 2 | 1st Jan,1 | Online Mode</t>
  </si>
  <si>
    <t>test29.mht</t>
  </si>
  <si>
    <t>JEE MAINS 29 Jan Shift 1 | 1st Jan,1 | Online Mode</t>
  </si>
  <si>
    <t>17426 to 17840</t>
  </si>
  <si>
    <t>test30.mht</t>
  </si>
  <si>
    <t>JEE MAINS 29 Jan Shift 2 | 1st Jan,1 | Online Mode</t>
  </si>
  <si>
    <t>6182 to 6348</t>
  </si>
  <si>
    <t>test31.mht</t>
  </si>
  <si>
    <t>JEE MAINS 07 April Shift 1 | 1st Jan,1 | Online Mode</t>
  </si>
  <si>
    <t>test32.mht</t>
  </si>
  <si>
    <t>JEE MAINS 07 April Shift 2 | 1st Jan,1 | Online Mode</t>
  </si>
  <si>
    <t>test33.mht</t>
  </si>
  <si>
    <t>JEE MAINS 23 Jan Shift 1 | 1st Jan,1 | Online Mode</t>
  </si>
  <si>
    <t>3249 to 3391</t>
  </si>
  <si>
    <t>test34.mht</t>
  </si>
  <si>
    <t>JEE MAINS 23 Jan Shift 2 | 1st Jan,1 | Online Mode</t>
  </si>
  <si>
    <t>2380 to 2467</t>
  </si>
  <si>
    <t>test35.mht</t>
  </si>
  <si>
    <t>JEE MAINS 22 Jan Shift 1 | 1st Jan,1 | Online Mode</t>
  </si>
  <si>
    <t>test36.mht</t>
  </si>
  <si>
    <t>JEE MAINS 22 Jan Shift 2 | 1st Jan,1 | Online Mode</t>
  </si>
  <si>
    <t>434 to 457</t>
  </si>
  <si>
    <t>test37.mht</t>
  </si>
  <si>
    <t>JEE MAINS 02 April Shift 1 | 1st Jan,1 | Online Mode</t>
  </si>
  <si>
    <t>test38.mht</t>
  </si>
  <si>
    <t>JEE MAINS 02 April Shift 2 | 1st Jan,1 | Online Mode</t>
  </si>
  <si>
    <t>test39.mht</t>
  </si>
  <si>
    <t>JEE MAINS 04 April Shift 1 | 1st Jan,1 | Online Mode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</si>
</sst>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/>
      <name val="Arial"/>
      <scheme val="minor"/>
    </font>
    <font>
      <sz val="11.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80C77D"/>
        <bgColor rgb="FF80C77D"/>
      </patternFill>
    </fill>
    <fill>
      <patternFill patternType="solid">
        <fgColor rgb="FF93CC7E"/>
        <bgColor rgb="FF93CC7E"/>
      </patternFill>
    </fill>
    <fill>
      <patternFill patternType="solid">
        <fgColor rgb="FF97CD7E"/>
        <bgColor rgb="FF97CD7E"/>
      </patternFill>
    </fill>
    <fill>
      <patternFill patternType="solid">
        <fgColor rgb="FFC5DB81"/>
        <bgColor rgb="FFC5DB81"/>
      </patternFill>
    </fill>
    <fill>
      <patternFill patternType="solid">
        <fgColor rgb="FFBDD881"/>
        <bgColor rgb="FFBDD881"/>
      </patternFill>
    </fill>
    <fill>
      <patternFill patternType="solid">
        <fgColor rgb="FFC1DA81"/>
        <bgColor rgb="FFC1DA81"/>
      </patternFill>
    </fill>
    <fill>
      <patternFill patternType="solid">
        <fgColor rgb="FFFFEB84"/>
        <bgColor rgb="FFFFEB84"/>
      </patternFill>
    </fill>
    <fill>
      <patternFill patternType="solid">
        <fgColor rgb="FFCFDD82"/>
        <bgColor rgb="FFCFDD82"/>
      </patternFill>
    </fill>
    <fill>
      <patternFill patternType="solid">
        <fgColor rgb="FFA4D17F"/>
        <bgColor rgb="FFA4D17F"/>
      </patternFill>
    </fill>
    <fill>
      <patternFill patternType="solid">
        <fgColor rgb="FFD3DF82"/>
        <bgColor rgb="FFD3DF82"/>
      </patternFill>
    </fill>
    <fill>
      <patternFill patternType="solid">
        <fgColor rgb="FFB1D47F"/>
        <bgColor rgb="FFB1D47F"/>
      </patternFill>
    </fill>
    <fill>
      <patternFill patternType="solid">
        <fgColor rgb="FF63BE7B"/>
        <bgColor rgb="FF63BE7B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1" numFmtId="0" xfId="0" applyAlignment="1" applyFill="1" applyFont="1">
      <alignment horizontal="right" vertical="bottom"/>
    </xf>
    <xf borderId="0" fillId="3" fontId="1" numFmtId="0" xfId="0" applyAlignment="1" applyFill="1" applyFont="1">
      <alignment horizontal="right" vertical="bottom"/>
    </xf>
    <xf borderId="0" fillId="4" fontId="1" numFmtId="0" xfId="0" applyAlignment="1" applyFill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5" fontId="1" numFmtId="0" xfId="0" applyAlignment="1" applyFill="1" applyFont="1">
      <alignment horizontal="right" vertical="bottom"/>
    </xf>
    <xf borderId="0" fillId="6" fontId="1" numFmtId="0" xfId="0" applyAlignment="1" applyFill="1" applyFont="1">
      <alignment horizontal="right" vertical="bottom"/>
    </xf>
    <xf borderId="0" fillId="7" fontId="1" numFmtId="0" xfId="0" applyAlignment="1" applyFill="1" applyFont="1">
      <alignment horizontal="right" vertical="bottom"/>
    </xf>
    <xf borderId="0" fillId="8" fontId="1" numFmtId="0" xfId="0" applyAlignment="1" applyFill="1" applyFont="1">
      <alignment horizontal="right" vertical="bottom"/>
    </xf>
    <xf borderId="0" fillId="9" fontId="1" numFmtId="0" xfId="0" applyAlignment="1" applyFill="1" applyFont="1">
      <alignment horizontal="right" vertical="bottom"/>
    </xf>
    <xf borderId="0" fillId="10" fontId="1" numFmtId="0" xfId="0" applyAlignment="1" applyFill="1" applyFont="1">
      <alignment horizontal="right" vertical="bottom"/>
    </xf>
    <xf borderId="0" fillId="11" fontId="1" numFmtId="0" xfId="0" applyAlignment="1" applyFill="1" applyFont="1">
      <alignment horizontal="right" vertical="bottom"/>
    </xf>
    <xf borderId="0" fillId="12" fontId="1" numFmtId="0" xfId="0" applyAlignment="1" applyFill="1" applyFont="1">
      <alignment horizontal="right" vertical="bottom"/>
    </xf>
    <xf borderId="0" fillId="13" fontId="1" numFmtId="0" xfId="0" applyAlignment="1" applyFill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11.25"/>
    <col customWidth="1" min="3" max="3" width="45.13"/>
    <col customWidth="1" min="4" max="4" width="9.38"/>
    <col customWidth="1" min="5" max="5" width="11.13"/>
    <col customWidth="1" min="6" max="6" width="16.38"/>
    <col customWidth="1" min="7" max="7" width="11.13"/>
    <col customWidth="1" min="8" max="11" width="9.38"/>
    <col customWidth="1" min="12" max="12" width="11.13"/>
    <col customWidth="1" min="13" max="16" width="9.38"/>
    <col customWidth="1" min="17" max="17" width="11.13"/>
    <col customWidth="1" min="18" max="21" width="9.38"/>
    <col customWidth="1" min="22" max="22" width="11.13"/>
    <col customWidth="1" min="23" max="25" width="9.38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>
      <c r="B2" t="s">
        <v>25</v>
      </c>
      <c r="C2" t="s">
        <v>26</v>
      </c>
      <c r="D2">
        <v>193.0</v>
      </c>
      <c r="E2">
        <v>96.0</v>
      </c>
      <c r="F2" t="s">
        <v>27</v>
      </c>
      <c r="G2">
        <v>77.61194029850746</v>
      </c>
      <c r="H2">
        <v>52.0</v>
      </c>
      <c r="I2">
        <v>15.0</v>
      </c>
      <c r="J2">
        <v>8.0</v>
      </c>
      <c r="K2" t="str">
        <f t="shared" ref="K2:K42" si="1">M2*4-N2</f>
        <v>67</v>
      </c>
      <c r="L2" t="str">
        <f t="shared" ref="L2:L42" si="2">M2/(M2+N2)*100</f>
        <v>78.26086957</v>
      </c>
      <c r="M2">
        <v>18.0</v>
      </c>
      <c r="N2">
        <v>5.0</v>
      </c>
      <c r="O2" t="str">
        <f t="shared" ref="O2:O42" si="3">25-M2-N2</f>
        <v>2</v>
      </c>
      <c r="P2" t="str">
        <f t="shared" ref="P2:P42" si="4">R2*4-S2</f>
        <v>63</v>
      </c>
      <c r="Q2" t="str">
        <f t="shared" ref="Q2:Q42" si="5">R2/(R2+S2)*100</f>
        <v>77.27272727</v>
      </c>
      <c r="R2">
        <v>17.0</v>
      </c>
      <c r="S2">
        <v>5.0</v>
      </c>
      <c r="T2" t="str">
        <f t="shared" ref="T2:T42" si="6">25-R2-S2</f>
        <v>3</v>
      </c>
      <c r="U2" t="str">
        <f t="shared" ref="U2:U42" si="7">W2*4-X2</f>
        <v>63</v>
      </c>
      <c r="V2" t="str">
        <f t="shared" ref="V2:V42" si="8">W2/(W2+X2)*100</f>
        <v>77.27272727</v>
      </c>
      <c r="W2">
        <v>17.0</v>
      </c>
      <c r="X2">
        <v>5.0</v>
      </c>
      <c r="Y2" t="str">
        <f t="shared" ref="Y2:Y42" si="9">25-W2-X2</f>
        <v>3</v>
      </c>
    </row>
    <row r="3">
      <c r="B3" t="s">
        <v>28</v>
      </c>
      <c r="C3" t="s">
        <v>29</v>
      </c>
      <c r="D3">
        <v>178.0</v>
      </c>
      <c r="E3">
        <v>95.0</v>
      </c>
      <c r="F3" t="s">
        <v>30</v>
      </c>
      <c r="G3">
        <v>77.41935483870968</v>
      </c>
      <c r="H3">
        <v>48.0</v>
      </c>
      <c r="I3">
        <v>14.0</v>
      </c>
      <c r="J3">
        <v>13.0</v>
      </c>
      <c r="K3" t="str">
        <f t="shared" si="1"/>
        <v>90</v>
      </c>
      <c r="L3" t="str">
        <f t="shared" si="2"/>
        <v>92</v>
      </c>
      <c r="M3">
        <v>23.0</v>
      </c>
      <c r="N3">
        <v>2.0</v>
      </c>
      <c r="O3" t="str">
        <f t="shared" si="3"/>
        <v>0</v>
      </c>
      <c r="P3" t="str">
        <f t="shared" si="4"/>
        <v>40</v>
      </c>
      <c r="Q3" t="str">
        <f t="shared" si="5"/>
        <v>60</v>
      </c>
      <c r="R3">
        <v>12.0</v>
      </c>
      <c r="S3">
        <v>8.0</v>
      </c>
      <c r="T3" t="str">
        <f t="shared" si="6"/>
        <v>5</v>
      </c>
      <c r="U3" t="str">
        <f t="shared" si="7"/>
        <v>48</v>
      </c>
      <c r="V3" t="str">
        <f t="shared" si="8"/>
        <v>76.47058824</v>
      </c>
      <c r="W3">
        <v>13.0</v>
      </c>
      <c r="X3">
        <v>4.0</v>
      </c>
      <c r="Y3" t="str">
        <f t="shared" si="9"/>
        <v>8</v>
      </c>
    </row>
    <row r="4">
      <c r="B4" t="s">
        <v>31</v>
      </c>
      <c r="C4" t="s">
        <v>32</v>
      </c>
      <c r="D4">
        <v>155.0</v>
      </c>
      <c r="E4">
        <v>91.0</v>
      </c>
      <c r="F4" t="s">
        <v>33</v>
      </c>
      <c r="G4">
        <v>71.66666666666667</v>
      </c>
      <c r="H4">
        <v>43.0</v>
      </c>
      <c r="I4">
        <v>17.0</v>
      </c>
      <c r="J4">
        <v>15.0</v>
      </c>
      <c r="K4" t="str">
        <f t="shared" si="1"/>
        <v>70</v>
      </c>
      <c r="L4" t="str">
        <f t="shared" si="2"/>
        <v>90</v>
      </c>
      <c r="M4">
        <v>18.0</v>
      </c>
      <c r="N4">
        <v>2.0</v>
      </c>
      <c r="O4" t="str">
        <f t="shared" si="3"/>
        <v>5</v>
      </c>
      <c r="P4" t="str">
        <f t="shared" si="4"/>
        <v>44</v>
      </c>
      <c r="Q4" t="str">
        <f t="shared" si="5"/>
        <v>61.9047619</v>
      </c>
      <c r="R4">
        <v>13.0</v>
      </c>
      <c r="S4">
        <v>8.0</v>
      </c>
      <c r="T4" t="str">
        <f t="shared" si="6"/>
        <v>4</v>
      </c>
      <c r="U4" t="str">
        <f t="shared" si="7"/>
        <v>41</v>
      </c>
      <c r="V4" t="str">
        <f t="shared" si="8"/>
        <v>63.15789474</v>
      </c>
      <c r="W4">
        <v>12.0</v>
      </c>
      <c r="X4">
        <v>7.0</v>
      </c>
      <c r="Y4" t="str">
        <f t="shared" si="9"/>
        <v>6</v>
      </c>
    </row>
    <row r="5">
      <c r="B5" t="s">
        <v>34</v>
      </c>
      <c r="C5" t="s">
        <v>35</v>
      </c>
      <c r="D5">
        <v>164.0</v>
      </c>
      <c r="E5">
        <v>93.0</v>
      </c>
      <c r="F5" t="s">
        <v>36</v>
      </c>
      <c r="G5">
        <v>69.6969696969697</v>
      </c>
      <c r="H5">
        <v>46.0</v>
      </c>
      <c r="I5">
        <v>20.0</v>
      </c>
      <c r="J5">
        <v>9.0</v>
      </c>
      <c r="K5" t="str">
        <f t="shared" si="1"/>
        <v>71</v>
      </c>
      <c r="L5" t="str">
        <f t="shared" si="2"/>
        <v>79.16666667</v>
      </c>
      <c r="M5">
        <v>19.0</v>
      </c>
      <c r="N5">
        <v>5.0</v>
      </c>
      <c r="O5" t="str">
        <f t="shared" si="3"/>
        <v>1</v>
      </c>
      <c r="P5" t="str">
        <f t="shared" si="4"/>
        <v>43</v>
      </c>
      <c r="Q5" t="str">
        <f t="shared" si="5"/>
        <v>59.09090909</v>
      </c>
      <c r="R5">
        <v>13.0</v>
      </c>
      <c r="S5">
        <v>9.0</v>
      </c>
      <c r="T5" t="str">
        <f t="shared" si="6"/>
        <v>3</v>
      </c>
      <c r="U5" t="str">
        <f t="shared" si="7"/>
        <v>50</v>
      </c>
      <c r="V5" t="str">
        <f t="shared" si="8"/>
        <v>70</v>
      </c>
      <c r="W5">
        <v>14.0</v>
      </c>
      <c r="X5">
        <v>6.0</v>
      </c>
      <c r="Y5" t="str">
        <f t="shared" si="9"/>
        <v>5</v>
      </c>
    </row>
    <row r="6">
      <c r="B6" t="s">
        <v>37</v>
      </c>
      <c r="C6" t="s">
        <v>38</v>
      </c>
      <c r="D6">
        <v>222.0</v>
      </c>
      <c r="E6">
        <v>98.0</v>
      </c>
      <c r="F6" t="s">
        <v>39</v>
      </c>
      <c r="G6">
        <v>85.29411764705883</v>
      </c>
      <c r="H6">
        <v>58.0</v>
      </c>
      <c r="I6">
        <v>10.0</v>
      </c>
      <c r="J6">
        <v>7.0</v>
      </c>
      <c r="K6" t="str">
        <f t="shared" si="1"/>
        <v>62</v>
      </c>
      <c r="L6" t="str">
        <f t="shared" si="2"/>
        <v>73.91304348</v>
      </c>
      <c r="M6">
        <v>17.0</v>
      </c>
      <c r="N6">
        <v>6.0</v>
      </c>
      <c r="O6" t="str">
        <f t="shared" si="3"/>
        <v>2</v>
      </c>
      <c r="P6" t="str">
        <f t="shared" si="4"/>
        <v>78</v>
      </c>
      <c r="Q6" t="str">
        <f t="shared" si="5"/>
        <v>90.90909091</v>
      </c>
      <c r="R6">
        <v>20.0</v>
      </c>
      <c r="S6">
        <v>2.0</v>
      </c>
      <c r="T6" t="str">
        <f t="shared" si="6"/>
        <v>3</v>
      </c>
      <c r="U6" t="str">
        <f t="shared" si="7"/>
        <v>82</v>
      </c>
      <c r="V6" t="str">
        <f t="shared" si="8"/>
        <v>91.30434783</v>
      </c>
      <c r="W6">
        <v>21.0</v>
      </c>
      <c r="X6">
        <v>2.0</v>
      </c>
      <c r="Y6" t="str">
        <f t="shared" si="9"/>
        <v>2</v>
      </c>
    </row>
    <row r="7">
      <c r="B7" t="s">
        <v>40</v>
      </c>
      <c r="C7" t="s">
        <v>41</v>
      </c>
      <c r="D7">
        <v>210.0</v>
      </c>
      <c r="E7">
        <v>98.0</v>
      </c>
      <c r="F7" t="s">
        <v>42</v>
      </c>
      <c r="G7">
        <v>84.61538461538461</v>
      </c>
      <c r="H7">
        <v>55.0</v>
      </c>
      <c r="I7">
        <v>10.0</v>
      </c>
      <c r="J7">
        <v>10.0</v>
      </c>
      <c r="K7" t="str">
        <f t="shared" si="1"/>
        <v>71</v>
      </c>
      <c r="L7" t="str">
        <f t="shared" si="2"/>
        <v>79.16666667</v>
      </c>
      <c r="M7">
        <v>19.0</v>
      </c>
      <c r="N7">
        <v>5.0</v>
      </c>
      <c r="O7" t="str">
        <f t="shared" si="3"/>
        <v>1</v>
      </c>
      <c r="P7" t="str">
        <f t="shared" si="4"/>
        <v>71</v>
      </c>
      <c r="Q7" t="str">
        <f t="shared" si="5"/>
        <v>79.16666667</v>
      </c>
      <c r="R7">
        <v>19.0</v>
      </c>
      <c r="S7">
        <v>5.0</v>
      </c>
      <c r="T7" t="str">
        <f t="shared" si="6"/>
        <v>1</v>
      </c>
      <c r="U7" t="str">
        <f t="shared" si="7"/>
        <v>68</v>
      </c>
      <c r="V7" t="str">
        <f t="shared" si="8"/>
        <v>100</v>
      </c>
      <c r="W7">
        <v>17.0</v>
      </c>
      <c r="X7">
        <v>0.0</v>
      </c>
      <c r="Y7" t="str">
        <f t="shared" si="9"/>
        <v>8</v>
      </c>
    </row>
    <row r="8">
      <c r="B8" t="s">
        <v>43</v>
      </c>
      <c r="C8" t="s">
        <v>44</v>
      </c>
      <c r="D8">
        <v>160.0</v>
      </c>
      <c r="E8">
        <v>92.0</v>
      </c>
      <c r="F8" t="s">
        <v>45</v>
      </c>
      <c r="G8">
        <v>73.33333333333333</v>
      </c>
      <c r="H8">
        <v>44.0</v>
      </c>
      <c r="I8">
        <v>16.0</v>
      </c>
      <c r="J8">
        <v>15.0</v>
      </c>
      <c r="K8" t="str">
        <f t="shared" si="1"/>
        <v>54</v>
      </c>
      <c r="L8" t="str">
        <f t="shared" si="2"/>
        <v>71.42857143</v>
      </c>
      <c r="M8">
        <v>15.0</v>
      </c>
      <c r="N8">
        <v>6.0</v>
      </c>
      <c r="O8" t="str">
        <f t="shared" si="3"/>
        <v>4</v>
      </c>
      <c r="P8" t="str">
        <f t="shared" si="4"/>
        <v>64</v>
      </c>
      <c r="Q8" t="str">
        <f t="shared" si="5"/>
        <v>80.95238095</v>
      </c>
      <c r="R8">
        <v>17.0</v>
      </c>
      <c r="S8">
        <v>4.0</v>
      </c>
      <c r="T8" t="str">
        <f t="shared" si="6"/>
        <v>4</v>
      </c>
      <c r="U8" t="str">
        <f t="shared" si="7"/>
        <v>42</v>
      </c>
      <c r="V8" t="str">
        <f t="shared" si="8"/>
        <v>66.66666667</v>
      </c>
      <c r="W8">
        <v>12.0</v>
      </c>
      <c r="X8">
        <v>6.0</v>
      </c>
      <c r="Y8" t="str">
        <f t="shared" si="9"/>
        <v>7</v>
      </c>
    </row>
    <row r="9">
      <c r="B9" t="s">
        <v>46</v>
      </c>
      <c r="C9" t="s">
        <v>47</v>
      </c>
      <c r="D9">
        <v>141.0</v>
      </c>
      <c r="E9">
        <v>88.0</v>
      </c>
      <c r="F9" t="s">
        <v>48</v>
      </c>
      <c r="G9">
        <v>67.79661016949152</v>
      </c>
      <c r="H9">
        <v>40.0</v>
      </c>
      <c r="I9">
        <v>19.0</v>
      </c>
      <c r="J9">
        <v>16.0</v>
      </c>
      <c r="K9" t="str">
        <f t="shared" si="1"/>
        <v>57</v>
      </c>
      <c r="L9" t="str">
        <f t="shared" si="2"/>
        <v>69.56521739</v>
      </c>
      <c r="M9">
        <v>16.0</v>
      </c>
      <c r="N9">
        <v>7.0</v>
      </c>
      <c r="O9" t="str">
        <f t="shared" si="3"/>
        <v>2</v>
      </c>
      <c r="P9" t="str">
        <f t="shared" si="4"/>
        <v>45</v>
      </c>
      <c r="Q9" t="str">
        <f t="shared" si="5"/>
        <v>65</v>
      </c>
      <c r="R9">
        <v>13.0</v>
      </c>
      <c r="S9">
        <v>7.0</v>
      </c>
      <c r="T9" t="str">
        <f t="shared" si="6"/>
        <v>5</v>
      </c>
      <c r="U9" t="str">
        <f t="shared" si="7"/>
        <v>39</v>
      </c>
      <c r="V9" t="str">
        <f t="shared" si="8"/>
        <v>68.75</v>
      </c>
      <c r="W9">
        <v>11.0</v>
      </c>
      <c r="X9">
        <v>5.0</v>
      </c>
      <c r="Y9" t="str">
        <f t="shared" si="9"/>
        <v>9</v>
      </c>
    </row>
    <row r="10">
      <c r="B10" t="s">
        <v>49</v>
      </c>
      <c r="C10" t="s">
        <v>50</v>
      </c>
      <c r="D10">
        <v>240.0</v>
      </c>
      <c r="E10">
        <v>99.0</v>
      </c>
      <c r="F10" t="s">
        <v>51</v>
      </c>
      <c r="G10">
        <v>93.84615384615384</v>
      </c>
      <c r="H10">
        <v>61.0</v>
      </c>
      <c r="I10">
        <v>4.0</v>
      </c>
      <c r="J10">
        <v>10.0</v>
      </c>
      <c r="K10" t="str">
        <f t="shared" si="1"/>
        <v>95</v>
      </c>
      <c r="L10" t="str">
        <f t="shared" si="2"/>
        <v>96</v>
      </c>
      <c r="M10">
        <v>24.0</v>
      </c>
      <c r="N10">
        <v>1.0</v>
      </c>
      <c r="O10" t="str">
        <f t="shared" si="3"/>
        <v>0</v>
      </c>
      <c r="P10" t="str">
        <f t="shared" si="4"/>
        <v>77</v>
      </c>
      <c r="Q10" t="str">
        <f t="shared" si="5"/>
        <v>86.95652174</v>
      </c>
      <c r="R10">
        <v>20.0</v>
      </c>
      <c r="S10">
        <v>3.0</v>
      </c>
      <c r="T10" t="str">
        <f t="shared" si="6"/>
        <v>2</v>
      </c>
      <c r="U10" t="str">
        <f t="shared" si="7"/>
        <v>68</v>
      </c>
      <c r="V10" t="str">
        <f t="shared" si="8"/>
        <v>100</v>
      </c>
      <c r="W10">
        <v>17.0</v>
      </c>
      <c r="X10">
        <v>0.0</v>
      </c>
      <c r="Y10" t="str">
        <f t="shared" si="9"/>
        <v>8</v>
      </c>
    </row>
    <row r="11">
      <c r="B11" t="s">
        <v>52</v>
      </c>
      <c r="C11" t="s">
        <v>53</v>
      </c>
      <c r="D11">
        <v>246.0</v>
      </c>
      <c r="E11">
        <v>99.0</v>
      </c>
      <c r="F11" t="s">
        <v>54</v>
      </c>
      <c r="G11">
        <v>96.875</v>
      </c>
      <c r="H11">
        <v>62.0</v>
      </c>
      <c r="I11">
        <v>2.0</v>
      </c>
      <c r="J11">
        <v>11.0</v>
      </c>
      <c r="K11" t="str">
        <f t="shared" si="1"/>
        <v>96</v>
      </c>
      <c r="L11" t="str">
        <f t="shared" si="2"/>
        <v>100</v>
      </c>
      <c r="M11">
        <v>24.0</v>
      </c>
      <c r="N11">
        <v>0.0</v>
      </c>
      <c r="O11" t="str">
        <f t="shared" si="3"/>
        <v>1</v>
      </c>
      <c r="P11" t="str">
        <f t="shared" si="4"/>
        <v>96</v>
      </c>
      <c r="Q11" t="str">
        <f t="shared" si="5"/>
        <v>100</v>
      </c>
      <c r="R11">
        <v>24.0</v>
      </c>
      <c r="S11">
        <v>0.0</v>
      </c>
      <c r="T11" t="str">
        <f t="shared" si="6"/>
        <v>1</v>
      </c>
      <c r="U11" t="str">
        <f t="shared" si="7"/>
        <v>54</v>
      </c>
      <c r="V11" t="str">
        <f t="shared" si="8"/>
        <v>87.5</v>
      </c>
      <c r="W11">
        <v>14.0</v>
      </c>
      <c r="X11">
        <v>2.0</v>
      </c>
      <c r="Y11" t="str">
        <f t="shared" si="9"/>
        <v>9</v>
      </c>
    </row>
    <row r="12">
      <c r="B12" t="s">
        <v>55</v>
      </c>
      <c r="C12" t="s">
        <v>56</v>
      </c>
      <c r="D12">
        <v>225.0</v>
      </c>
      <c r="E12">
        <v>98.0</v>
      </c>
      <c r="F12" t="s">
        <v>57</v>
      </c>
      <c r="G12">
        <v>95.0</v>
      </c>
      <c r="H12">
        <v>57.0</v>
      </c>
      <c r="I12">
        <v>3.0</v>
      </c>
      <c r="J12">
        <v>15.0</v>
      </c>
      <c r="K12" t="str">
        <f t="shared" si="1"/>
        <v>91</v>
      </c>
      <c r="L12" t="str">
        <f t="shared" si="2"/>
        <v>95.83333333</v>
      </c>
      <c r="M12">
        <v>23.0</v>
      </c>
      <c r="N12">
        <v>1.0</v>
      </c>
      <c r="O12" t="str">
        <f t="shared" si="3"/>
        <v>1</v>
      </c>
      <c r="P12" t="str">
        <f t="shared" si="4"/>
        <v>67</v>
      </c>
      <c r="Q12" t="str">
        <f t="shared" si="5"/>
        <v>94.44444444</v>
      </c>
      <c r="R12">
        <v>17.0</v>
      </c>
      <c r="S12">
        <v>1.0</v>
      </c>
      <c r="T12" t="str">
        <f t="shared" si="6"/>
        <v>7</v>
      </c>
      <c r="U12" t="str">
        <f t="shared" si="7"/>
        <v>67</v>
      </c>
      <c r="V12" t="str">
        <f t="shared" si="8"/>
        <v>94.44444444</v>
      </c>
      <c r="W12">
        <v>17.0</v>
      </c>
      <c r="X12">
        <v>1.0</v>
      </c>
      <c r="Y12" t="str">
        <f t="shared" si="9"/>
        <v>7</v>
      </c>
    </row>
    <row r="13">
      <c r="B13" t="s">
        <v>58</v>
      </c>
      <c r="C13" t="s">
        <v>59</v>
      </c>
      <c r="D13">
        <v>227.0</v>
      </c>
      <c r="E13">
        <v>99.0</v>
      </c>
      <c r="F13" t="s">
        <v>60</v>
      </c>
      <c r="G13">
        <v>86.76470588235294</v>
      </c>
      <c r="H13">
        <v>59.0</v>
      </c>
      <c r="I13">
        <v>9.0</v>
      </c>
      <c r="J13">
        <v>7.0</v>
      </c>
      <c r="K13" t="str">
        <f t="shared" si="1"/>
        <v>87</v>
      </c>
      <c r="L13" t="str">
        <f t="shared" si="2"/>
        <v>95.65217391</v>
      </c>
      <c r="M13">
        <v>22.0</v>
      </c>
      <c r="N13">
        <v>1.0</v>
      </c>
      <c r="O13" t="str">
        <f t="shared" si="3"/>
        <v>2</v>
      </c>
      <c r="P13" t="str">
        <f t="shared" si="4"/>
        <v>76</v>
      </c>
      <c r="Q13" t="str">
        <f t="shared" si="5"/>
        <v>83.33333333</v>
      </c>
      <c r="R13">
        <v>20.0</v>
      </c>
      <c r="S13">
        <v>4.0</v>
      </c>
      <c r="T13" t="str">
        <f t="shared" si="6"/>
        <v>1</v>
      </c>
      <c r="U13" t="str">
        <f t="shared" si="7"/>
        <v>64</v>
      </c>
      <c r="V13" t="str">
        <f t="shared" si="8"/>
        <v>80.95238095</v>
      </c>
      <c r="W13">
        <v>17.0</v>
      </c>
      <c r="X13">
        <v>4.0</v>
      </c>
      <c r="Y13" t="str">
        <f t="shared" si="9"/>
        <v>4</v>
      </c>
    </row>
    <row r="14">
      <c r="B14" t="s">
        <v>61</v>
      </c>
      <c r="C14" t="s">
        <v>62</v>
      </c>
      <c r="D14">
        <v>229.0</v>
      </c>
      <c r="E14">
        <v>99.0</v>
      </c>
      <c r="F14" t="s">
        <v>63</v>
      </c>
      <c r="G14">
        <v>89.39393939393939</v>
      </c>
      <c r="H14">
        <v>59.0</v>
      </c>
      <c r="I14">
        <v>7.0</v>
      </c>
      <c r="J14">
        <v>9.0</v>
      </c>
      <c r="K14" t="str">
        <f t="shared" si="1"/>
        <v>86</v>
      </c>
      <c r="L14" t="str">
        <f t="shared" si="2"/>
        <v>91.66666667</v>
      </c>
      <c r="M14">
        <v>22.0</v>
      </c>
      <c r="N14">
        <v>2.0</v>
      </c>
      <c r="O14" t="str">
        <f t="shared" si="3"/>
        <v>1</v>
      </c>
      <c r="P14" t="str">
        <f t="shared" si="4"/>
        <v>64</v>
      </c>
      <c r="Q14" t="str">
        <f t="shared" si="5"/>
        <v>80.95238095</v>
      </c>
      <c r="R14">
        <v>17.0</v>
      </c>
      <c r="S14">
        <v>4.0</v>
      </c>
      <c r="T14" t="str">
        <f t="shared" si="6"/>
        <v>4</v>
      </c>
      <c r="U14" t="str">
        <f t="shared" si="7"/>
        <v>79</v>
      </c>
      <c r="V14" t="str">
        <f t="shared" si="8"/>
        <v>95.23809524</v>
      </c>
      <c r="W14">
        <v>20.0</v>
      </c>
      <c r="X14">
        <v>1.0</v>
      </c>
      <c r="Y14" t="str">
        <f t="shared" si="9"/>
        <v>4</v>
      </c>
    </row>
    <row r="15">
      <c r="B15" t="s">
        <v>64</v>
      </c>
      <c r="C15" t="s">
        <v>65</v>
      </c>
      <c r="D15">
        <v>213.0</v>
      </c>
      <c r="E15">
        <v>98.0</v>
      </c>
      <c r="F15" t="s">
        <v>66</v>
      </c>
      <c r="G15">
        <v>88.70967741935483</v>
      </c>
      <c r="H15">
        <v>55.0</v>
      </c>
      <c r="I15">
        <v>7.0</v>
      </c>
      <c r="J15">
        <v>13.0</v>
      </c>
      <c r="K15" t="str">
        <f t="shared" si="1"/>
        <v>86</v>
      </c>
      <c r="L15" t="str">
        <f t="shared" si="2"/>
        <v>91.66666667</v>
      </c>
      <c r="M15">
        <v>22.0</v>
      </c>
      <c r="N15">
        <v>2.0</v>
      </c>
      <c r="O15" t="str">
        <f t="shared" si="3"/>
        <v>1</v>
      </c>
      <c r="P15" t="str">
        <f t="shared" si="4"/>
        <v>57</v>
      </c>
      <c r="Q15" t="str">
        <f t="shared" si="5"/>
        <v>83.33333333</v>
      </c>
      <c r="R15">
        <v>15.0</v>
      </c>
      <c r="S15">
        <v>3.0</v>
      </c>
      <c r="T15" t="str">
        <f t="shared" si="6"/>
        <v>7</v>
      </c>
      <c r="U15" t="str">
        <f t="shared" si="7"/>
        <v>70</v>
      </c>
      <c r="V15" t="str">
        <f t="shared" si="8"/>
        <v>90</v>
      </c>
      <c r="W15">
        <v>18.0</v>
      </c>
      <c r="X15">
        <v>2.0</v>
      </c>
      <c r="Y15" t="str">
        <f t="shared" si="9"/>
        <v>5</v>
      </c>
    </row>
    <row r="16">
      <c r="B16" t="s">
        <v>67</v>
      </c>
      <c r="C16" t="s">
        <v>68</v>
      </c>
      <c r="D16">
        <v>208.0</v>
      </c>
      <c r="G16">
        <v>82.08955223880598</v>
      </c>
      <c r="H16">
        <v>55.0</v>
      </c>
      <c r="I16">
        <v>12.0</v>
      </c>
      <c r="J16">
        <v>23.0</v>
      </c>
      <c r="K16" t="str">
        <f t="shared" si="1"/>
        <v>95</v>
      </c>
      <c r="L16" t="str">
        <f t="shared" si="2"/>
        <v>96</v>
      </c>
      <c r="M16">
        <v>24.0</v>
      </c>
      <c r="N16">
        <v>1.0</v>
      </c>
      <c r="O16" t="str">
        <f t="shared" si="3"/>
        <v>0</v>
      </c>
      <c r="P16" t="str">
        <f t="shared" si="4"/>
        <v>60</v>
      </c>
      <c r="Q16" t="str">
        <f t="shared" si="5"/>
        <v>80</v>
      </c>
      <c r="R16">
        <v>16.0</v>
      </c>
      <c r="S16">
        <v>4.0</v>
      </c>
      <c r="T16" t="str">
        <f t="shared" si="6"/>
        <v>5</v>
      </c>
      <c r="U16" t="str">
        <f t="shared" si="7"/>
        <v>53</v>
      </c>
      <c r="V16" t="str">
        <f t="shared" si="8"/>
        <v>68.18181818</v>
      </c>
      <c r="W16">
        <v>15.0</v>
      </c>
      <c r="X16">
        <v>7.0</v>
      </c>
      <c r="Y16" t="str">
        <f t="shared" si="9"/>
        <v>3</v>
      </c>
    </row>
    <row r="17">
      <c r="B17" t="s">
        <v>69</v>
      </c>
      <c r="C17" t="s">
        <v>70</v>
      </c>
      <c r="D17">
        <v>225.0</v>
      </c>
      <c r="G17">
        <v>84.28571428571429</v>
      </c>
      <c r="H17">
        <v>59.0</v>
      </c>
      <c r="I17">
        <v>11.0</v>
      </c>
      <c r="J17">
        <v>5.0</v>
      </c>
      <c r="K17" t="str">
        <f t="shared" si="1"/>
        <v>76</v>
      </c>
      <c r="L17" t="str">
        <f t="shared" si="2"/>
        <v>83.33333333</v>
      </c>
      <c r="M17">
        <v>20.0</v>
      </c>
      <c r="N17">
        <v>4.0</v>
      </c>
      <c r="O17" t="str">
        <f t="shared" si="3"/>
        <v>1</v>
      </c>
      <c r="P17" t="str">
        <f t="shared" si="4"/>
        <v>62</v>
      </c>
      <c r="Q17" t="str">
        <f t="shared" si="5"/>
        <v>73.91304348</v>
      </c>
      <c r="R17">
        <v>17.0</v>
      </c>
      <c r="S17">
        <v>6.0</v>
      </c>
      <c r="T17" t="str">
        <f t="shared" si="6"/>
        <v>2</v>
      </c>
      <c r="U17" t="str">
        <f t="shared" si="7"/>
        <v>87</v>
      </c>
      <c r="V17" t="str">
        <f t="shared" si="8"/>
        <v>95.65217391</v>
      </c>
      <c r="W17">
        <v>22.0</v>
      </c>
      <c r="X17">
        <v>1.0</v>
      </c>
      <c r="Y17" t="str">
        <f t="shared" si="9"/>
        <v>2</v>
      </c>
    </row>
    <row r="18">
      <c r="B18" t="s">
        <v>71</v>
      </c>
      <c r="C18" t="s">
        <v>72</v>
      </c>
      <c r="D18">
        <v>268.0</v>
      </c>
      <c r="E18">
        <v>99.0</v>
      </c>
      <c r="F18" t="s">
        <v>73</v>
      </c>
      <c r="G18">
        <v>94.44444444444444</v>
      </c>
      <c r="H18">
        <v>68.0</v>
      </c>
      <c r="I18">
        <v>4.0</v>
      </c>
      <c r="J18">
        <v>3.0</v>
      </c>
      <c r="K18" t="str">
        <f t="shared" si="1"/>
        <v>100</v>
      </c>
      <c r="L18" t="str">
        <f t="shared" si="2"/>
        <v>100</v>
      </c>
      <c r="M18">
        <v>25.0</v>
      </c>
      <c r="N18">
        <v>0.0</v>
      </c>
      <c r="O18" t="str">
        <f t="shared" si="3"/>
        <v>0</v>
      </c>
      <c r="P18" t="str">
        <f t="shared" si="4"/>
        <v>77</v>
      </c>
      <c r="Q18" t="str">
        <f t="shared" si="5"/>
        <v>86.95652174</v>
      </c>
      <c r="R18">
        <v>20.0</v>
      </c>
      <c r="S18">
        <v>3.0</v>
      </c>
      <c r="T18" t="str">
        <f t="shared" si="6"/>
        <v>2</v>
      </c>
      <c r="U18" t="str">
        <f t="shared" si="7"/>
        <v>91</v>
      </c>
      <c r="V18" t="str">
        <f t="shared" si="8"/>
        <v>95.83333333</v>
      </c>
      <c r="W18">
        <v>23.0</v>
      </c>
      <c r="X18">
        <v>1.0</v>
      </c>
      <c r="Y18" t="str">
        <f t="shared" si="9"/>
        <v>1</v>
      </c>
    </row>
    <row r="19">
      <c r="B19" t="s">
        <v>74</v>
      </c>
      <c r="C19" t="s">
        <v>75</v>
      </c>
      <c r="D19">
        <v>226.0</v>
      </c>
      <c r="E19">
        <v>98.0</v>
      </c>
      <c r="F19" t="s">
        <v>76</v>
      </c>
      <c r="G19">
        <v>85.5072463768116</v>
      </c>
      <c r="H19">
        <v>59.0</v>
      </c>
      <c r="I19">
        <v>10.0</v>
      </c>
      <c r="J19">
        <v>6.0</v>
      </c>
      <c r="K19" t="str">
        <f t="shared" si="1"/>
        <v>67</v>
      </c>
      <c r="L19" t="str">
        <f t="shared" si="2"/>
        <v>78.26086957</v>
      </c>
      <c r="M19">
        <v>18.0</v>
      </c>
      <c r="N19">
        <v>5.0</v>
      </c>
      <c r="O19" t="str">
        <f t="shared" si="3"/>
        <v>2</v>
      </c>
      <c r="P19" t="str">
        <f t="shared" si="4"/>
        <v>86</v>
      </c>
      <c r="Q19" t="str">
        <f t="shared" si="5"/>
        <v>91.66666667</v>
      </c>
      <c r="R19">
        <v>22.0</v>
      </c>
      <c r="S19">
        <v>2.0</v>
      </c>
      <c r="T19" t="str">
        <f t="shared" si="6"/>
        <v>1</v>
      </c>
      <c r="U19" t="str">
        <f t="shared" si="7"/>
        <v>73</v>
      </c>
      <c r="V19" t="str">
        <f t="shared" si="8"/>
        <v>86.36363636</v>
      </c>
      <c r="W19">
        <v>19.0</v>
      </c>
      <c r="X19">
        <v>3.0</v>
      </c>
      <c r="Y19" t="str">
        <f t="shared" si="9"/>
        <v>3</v>
      </c>
    </row>
    <row r="20">
      <c r="B20" t="s">
        <v>77</v>
      </c>
      <c r="C20" t="s">
        <v>78</v>
      </c>
      <c r="D20">
        <v>225.0</v>
      </c>
      <c r="E20">
        <v>98.0</v>
      </c>
      <c r="F20" t="s">
        <v>57</v>
      </c>
      <c r="G20">
        <v>84.28571428571429</v>
      </c>
      <c r="H20">
        <v>59.0</v>
      </c>
      <c r="I20">
        <v>11.0</v>
      </c>
      <c r="J20">
        <v>5.0</v>
      </c>
      <c r="K20" t="str">
        <f t="shared" si="1"/>
        <v>75</v>
      </c>
      <c r="L20" t="str">
        <f t="shared" si="2"/>
        <v>80</v>
      </c>
      <c r="M20">
        <v>20.0</v>
      </c>
      <c r="N20">
        <v>5.0</v>
      </c>
      <c r="O20" t="str">
        <f t="shared" si="3"/>
        <v>0</v>
      </c>
      <c r="P20" t="str">
        <f t="shared" si="4"/>
        <v>77</v>
      </c>
      <c r="Q20" t="str">
        <f t="shared" si="5"/>
        <v>86.95652174</v>
      </c>
      <c r="R20">
        <v>20.0</v>
      </c>
      <c r="S20">
        <v>3.0</v>
      </c>
      <c r="T20" t="str">
        <f t="shared" si="6"/>
        <v>2</v>
      </c>
      <c r="U20" t="str">
        <f t="shared" si="7"/>
        <v>73</v>
      </c>
      <c r="V20" t="str">
        <f t="shared" si="8"/>
        <v>86.36363636</v>
      </c>
      <c r="W20">
        <v>19.0</v>
      </c>
      <c r="X20">
        <v>3.0</v>
      </c>
      <c r="Y20" t="str">
        <f t="shared" si="9"/>
        <v>3</v>
      </c>
    </row>
    <row r="21" ht="15.75" customHeight="1">
      <c r="B21" t="s">
        <v>79</v>
      </c>
      <c r="C21" t="s">
        <v>80</v>
      </c>
      <c r="D21">
        <v>194.0</v>
      </c>
      <c r="E21">
        <v>97.0</v>
      </c>
      <c r="F21" t="s">
        <v>81</v>
      </c>
      <c r="G21">
        <v>78.78787878787878</v>
      </c>
      <c r="H21">
        <v>52.0</v>
      </c>
      <c r="I21">
        <v>14.0</v>
      </c>
      <c r="J21">
        <v>9.0</v>
      </c>
      <c r="K21" t="str">
        <f t="shared" si="1"/>
        <v>71</v>
      </c>
      <c r="L21" t="str">
        <f t="shared" si="2"/>
        <v>79.16666667</v>
      </c>
      <c r="M21">
        <v>19.0</v>
      </c>
      <c r="N21">
        <v>5.0</v>
      </c>
      <c r="O21" t="str">
        <f t="shared" si="3"/>
        <v>1</v>
      </c>
      <c r="P21" t="str">
        <f t="shared" si="4"/>
        <v>46</v>
      </c>
      <c r="Q21" t="str">
        <f t="shared" si="5"/>
        <v>68.42105263</v>
      </c>
      <c r="R21">
        <v>13.0</v>
      </c>
      <c r="S21">
        <v>6.0</v>
      </c>
      <c r="T21" t="str">
        <f t="shared" si="6"/>
        <v>6</v>
      </c>
      <c r="U21" t="str">
        <f t="shared" si="7"/>
        <v>77</v>
      </c>
      <c r="V21" t="str">
        <f t="shared" si="8"/>
        <v>86.95652174</v>
      </c>
      <c r="W21">
        <v>20.0</v>
      </c>
      <c r="X21">
        <v>3.0</v>
      </c>
      <c r="Y21" t="str">
        <f t="shared" si="9"/>
        <v>2</v>
      </c>
    </row>
    <row r="22" ht="15.75" customHeight="1">
      <c r="B22" t="s">
        <v>82</v>
      </c>
      <c r="C22" t="s">
        <v>83</v>
      </c>
      <c r="D22">
        <v>217.0</v>
      </c>
      <c r="E22">
        <v>98.0</v>
      </c>
      <c r="F22" t="s">
        <v>84</v>
      </c>
      <c r="G22">
        <v>83.82352941176471</v>
      </c>
      <c r="H22">
        <v>57.0</v>
      </c>
      <c r="I22">
        <v>11.0</v>
      </c>
      <c r="J22">
        <v>7.0</v>
      </c>
      <c r="K22" t="str">
        <f t="shared" si="1"/>
        <v>90</v>
      </c>
      <c r="L22" t="str">
        <f t="shared" si="2"/>
        <v>92</v>
      </c>
      <c r="M22">
        <v>23.0</v>
      </c>
      <c r="N22">
        <v>2.0</v>
      </c>
      <c r="O22" t="str">
        <f t="shared" si="3"/>
        <v>0</v>
      </c>
      <c r="P22" t="str">
        <f t="shared" si="4"/>
        <v>31</v>
      </c>
      <c r="Q22" t="str">
        <f t="shared" si="5"/>
        <v>52.63157895</v>
      </c>
      <c r="R22">
        <v>10.0</v>
      </c>
      <c r="S22">
        <v>9.0</v>
      </c>
      <c r="T22" t="str">
        <f t="shared" si="6"/>
        <v>6</v>
      </c>
      <c r="U22" t="str">
        <f t="shared" si="7"/>
        <v>96</v>
      </c>
      <c r="V22" t="str">
        <f t="shared" si="8"/>
        <v>100</v>
      </c>
      <c r="W22">
        <v>24.0</v>
      </c>
      <c r="X22">
        <v>0.0</v>
      </c>
      <c r="Y22" t="str">
        <f t="shared" si="9"/>
        <v>1</v>
      </c>
    </row>
    <row r="23" ht="15.75" customHeight="1">
      <c r="B23" t="s">
        <v>85</v>
      </c>
      <c r="C23" t="s">
        <v>86</v>
      </c>
      <c r="D23">
        <v>233.0</v>
      </c>
      <c r="E23">
        <v>99.0</v>
      </c>
      <c r="F23" t="s">
        <v>87</v>
      </c>
      <c r="G23">
        <v>95.16129032258065</v>
      </c>
      <c r="H23">
        <v>59.0</v>
      </c>
      <c r="I23">
        <v>3.0</v>
      </c>
      <c r="J23">
        <v>13.0</v>
      </c>
      <c r="K23" t="str">
        <f t="shared" si="1"/>
        <v>77</v>
      </c>
      <c r="L23" t="str">
        <f t="shared" si="2"/>
        <v>86.95652174</v>
      </c>
      <c r="M23">
        <v>20.0</v>
      </c>
      <c r="N23">
        <v>3.0</v>
      </c>
      <c r="O23" t="str">
        <f t="shared" si="3"/>
        <v>2</v>
      </c>
      <c r="P23" t="str">
        <f t="shared" si="4"/>
        <v>76</v>
      </c>
      <c r="Q23" t="str">
        <f t="shared" si="5"/>
        <v>100</v>
      </c>
      <c r="R23">
        <v>19.0</v>
      </c>
      <c r="S23">
        <v>0.0</v>
      </c>
      <c r="T23" t="str">
        <f t="shared" si="6"/>
        <v>6</v>
      </c>
      <c r="U23" t="str">
        <f t="shared" si="7"/>
        <v>80</v>
      </c>
      <c r="V23" t="str">
        <f t="shared" si="8"/>
        <v>100</v>
      </c>
      <c r="W23">
        <v>20.0</v>
      </c>
      <c r="X23">
        <v>0.0</v>
      </c>
      <c r="Y23" t="str">
        <f t="shared" si="9"/>
        <v>5</v>
      </c>
    </row>
    <row r="24" ht="15.75" customHeight="1">
      <c r="B24" t="s">
        <v>88</v>
      </c>
      <c r="C24" t="s">
        <v>89</v>
      </c>
      <c r="D24">
        <v>230.0</v>
      </c>
      <c r="E24">
        <v>99.0</v>
      </c>
      <c r="F24" t="s">
        <v>90</v>
      </c>
      <c r="G24">
        <v>90.76923076923077</v>
      </c>
      <c r="H24">
        <v>59.0</v>
      </c>
      <c r="I24">
        <v>6.0</v>
      </c>
      <c r="J24">
        <v>10.0</v>
      </c>
      <c r="K24" t="str">
        <f t="shared" si="1"/>
        <v>74</v>
      </c>
      <c r="L24" t="str">
        <f t="shared" si="2"/>
        <v>90.47619048</v>
      </c>
      <c r="M24">
        <v>19.0</v>
      </c>
      <c r="N24">
        <v>2.0</v>
      </c>
      <c r="O24" t="str">
        <f t="shared" si="3"/>
        <v>4</v>
      </c>
      <c r="P24" t="str">
        <f t="shared" si="4"/>
        <v>91</v>
      </c>
      <c r="Q24" t="str">
        <f t="shared" si="5"/>
        <v>95.83333333</v>
      </c>
      <c r="R24">
        <v>23.0</v>
      </c>
      <c r="S24">
        <v>1.0</v>
      </c>
      <c r="T24" t="str">
        <f t="shared" si="6"/>
        <v>1</v>
      </c>
      <c r="U24" t="str">
        <f t="shared" si="7"/>
        <v>65</v>
      </c>
      <c r="V24" t="str">
        <f t="shared" si="8"/>
        <v>85</v>
      </c>
      <c r="W24">
        <v>17.0</v>
      </c>
      <c r="X24">
        <v>3.0</v>
      </c>
      <c r="Y24" t="str">
        <f t="shared" si="9"/>
        <v>5</v>
      </c>
    </row>
    <row r="25" ht="15.75" customHeight="1">
      <c r="B25" t="s">
        <v>91</v>
      </c>
      <c r="C25" t="s">
        <v>92</v>
      </c>
      <c r="D25">
        <v>206.0</v>
      </c>
      <c r="E25">
        <v>98.0</v>
      </c>
      <c r="F25" t="s">
        <v>93</v>
      </c>
      <c r="G25">
        <v>84.375</v>
      </c>
      <c r="H25">
        <v>54.0</v>
      </c>
      <c r="I25">
        <v>10.0</v>
      </c>
      <c r="J25">
        <v>11.0</v>
      </c>
      <c r="K25" t="str">
        <f t="shared" si="1"/>
        <v>81</v>
      </c>
      <c r="L25" t="str">
        <f t="shared" si="2"/>
        <v>87.5</v>
      </c>
      <c r="M25">
        <v>21.0</v>
      </c>
      <c r="N25">
        <v>3.0</v>
      </c>
      <c r="O25" t="str">
        <f t="shared" si="3"/>
        <v>1</v>
      </c>
      <c r="P25" t="str">
        <f t="shared" si="4"/>
        <v>59</v>
      </c>
      <c r="Q25" t="str">
        <f t="shared" si="5"/>
        <v>76.19047619</v>
      </c>
      <c r="R25">
        <v>16.0</v>
      </c>
      <c r="S25">
        <v>5.0</v>
      </c>
      <c r="T25" t="str">
        <f t="shared" si="6"/>
        <v>4</v>
      </c>
      <c r="U25" t="str">
        <f t="shared" si="7"/>
        <v>66</v>
      </c>
      <c r="V25" t="str">
        <f t="shared" si="8"/>
        <v>89.47368421</v>
      </c>
      <c r="W25">
        <v>17.0</v>
      </c>
      <c r="X25">
        <v>2.0</v>
      </c>
      <c r="Y25" t="str">
        <f t="shared" si="9"/>
        <v>6</v>
      </c>
    </row>
    <row r="26" ht="15.75" customHeight="1">
      <c r="B26" t="s">
        <v>94</v>
      </c>
      <c r="C26" t="s">
        <v>95</v>
      </c>
      <c r="D26">
        <v>205.0</v>
      </c>
      <c r="E26">
        <v>98.0</v>
      </c>
      <c r="F26" t="s">
        <v>96</v>
      </c>
      <c r="G26">
        <v>78.57142857142857</v>
      </c>
      <c r="H26">
        <v>55.0</v>
      </c>
      <c r="I26">
        <v>15.0</v>
      </c>
      <c r="J26">
        <v>5.0</v>
      </c>
      <c r="K26" t="str">
        <f t="shared" si="1"/>
        <v>66</v>
      </c>
      <c r="L26" t="str">
        <f t="shared" si="2"/>
        <v>75</v>
      </c>
      <c r="M26">
        <v>18.0</v>
      </c>
      <c r="N26">
        <v>6.0</v>
      </c>
      <c r="O26" t="str">
        <f t="shared" si="3"/>
        <v>1</v>
      </c>
      <c r="P26" t="str">
        <f t="shared" si="4"/>
        <v>68</v>
      </c>
      <c r="Q26" t="str">
        <f t="shared" si="5"/>
        <v>81.81818182</v>
      </c>
      <c r="R26">
        <v>18.0</v>
      </c>
      <c r="S26">
        <v>4.0</v>
      </c>
      <c r="T26" t="str">
        <f t="shared" si="6"/>
        <v>3</v>
      </c>
      <c r="U26" t="str">
        <f t="shared" si="7"/>
        <v>71</v>
      </c>
      <c r="V26" t="str">
        <f t="shared" si="8"/>
        <v>79.16666667</v>
      </c>
      <c r="W26">
        <v>19.0</v>
      </c>
      <c r="X26">
        <v>5.0</v>
      </c>
      <c r="Y26" t="str">
        <f t="shared" si="9"/>
        <v>1</v>
      </c>
    </row>
    <row r="27" ht="15.75" customHeight="1">
      <c r="B27" t="s">
        <v>97</v>
      </c>
      <c r="C27" t="s">
        <v>98</v>
      </c>
      <c r="D27">
        <v>159.0</v>
      </c>
      <c r="E27">
        <v>92.0</v>
      </c>
      <c r="F27" t="s">
        <v>99</v>
      </c>
      <c r="G27">
        <v>82.35294117647058</v>
      </c>
      <c r="H27">
        <v>42.0</v>
      </c>
      <c r="I27">
        <v>9.0</v>
      </c>
      <c r="J27">
        <v>24.0</v>
      </c>
      <c r="K27" t="str">
        <f t="shared" si="1"/>
        <v>59</v>
      </c>
      <c r="L27" t="str">
        <f t="shared" si="2"/>
        <v>76.19047619</v>
      </c>
      <c r="M27">
        <v>16.0</v>
      </c>
      <c r="N27">
        <v>5.0</v>
      </c>
      <c r="O27" t="str">
        <f t="shared" si="3"/>
        <v>4</v>
      </c>
      <c r="P27" t="str">
        <f t="shared" si="4"/>
        <v>60</v>
      </c>
      <c r="Q27" t="str">
        <f t="shared" si="5"/>
        <v>80</v>
      </c>
      <c r="R27">
        <v>16.0</v>
      </c>
      <c r="S27">
        <v>4.0</v>
      </c>
      <c r="T27" t="str">
        <f t="shared" si="6"/>
        <v>5</v>
      </c>
      <c r="U27" t="str">
        <f t="shared" si="7"/>
        <v>40</v>
      </c>
      <c r="V27" t="str">
        <f t="shared" si="8"/>
        <v>100</v>
      </c>
      <c r="W27">
        <v>10.0</v>
      </c>
      <c r="X27">
        <v>0.0</v>
      </c>
      <c r="Y27" t="str">
        <f t="shared" si="9"/>
        <v>15</v>
      </c>
    </row>
    <row r="28" ht="15.75" customHeight="1">
      <c r="B28" t="s">
        <v>100</v>
      </c>
      <c r="C28" t="s">
        <v>101</v>
      </c>
      <c r="D28">
        <v>187.0</v>
      </c>
      <c r="E28">
        <v>96.0</v>
      </c>
      <c r="F28" t="s">
        <v>102</v>
      </c>
      <c r="G28">
        <v>79.36507936507937</v>
      </c>
      <c r="H28">
        <v>50.0</v>
      </c>
      <c r="I28">
        <v>13.0</v>
      </c>
      <c r="J28">
        <v>12.0</v>
      </c>
      <c r="K28" t="str">
        <f t="shared" si="1"/>
        <v>76</v>
      </c>
      <c r="L28" t="str">
        <f t="shared" si="2"/>
        <v>83.33333333</v>
      </c>
      <c r="M28">
        <v>20.0</v>
      </c>
      <c r="N28">
        <v>4.0</v>
      </c>
      <c r="O28" t="str">
        <f t="shared" si="3"/>
        <v>1</v>
      </c>
      <c r="P28" t="str">
        <f t="shared" si="4"/>
        <v>68</v>
      </c>
      <c r="Q28" t="str">
        <f t="shared" si="5"/>
        <v>81.81818182</v>
      </c>
      <c r="R28">
        <v>18.0</v>
      </c>
      <c r="S28">
        <v>4.0</v>
      </c>
      <c r="T28" t="str">
        <f t="shared" si="6"/>
        <v>3</v>
      </c>
      <c r="U28" t="str">
        <f t="shared" si="7"/>
        <v>43</v>
      </c>
      <c r="V28" t="str">
        <f t="shared" si="8"/>
        <v>70.58823529</v>
      </c>
      <c r="W28">
        <v>12.0</v>
      </c>
      <c r="X28">
        <v>5.0</v>
      </c>
      <c r="Y28" t="str">
        <f t="shared" si="9"/>
        <v>8</v>
      </c>
    </row>
    <row r="29" ht="15.75" customHeight="1">
      <c r="B29" t="s">
        <v>103</v>
      </c>
      <c r="C29" t="s">
        <v>104</v>
      </c>
      <c r="D29">
        <v>153.0</v>
      </c>
      <c r="E29">
        <v>91.0</v>
      </c>
      <c r="F29" t="s">
        <v>105</v>
      </c>
      <c r="G29">
        <v>73.68421052631578</v>
      </c>
      <c r="H29">
        <v>42.0</v>
      </c>
      <c r="I29">
        <v>15.0</v>
      </c>
      <c r="J29">
        <v>18.0</v>
      </c>
      <c r="K29" t="str">
        <f t="shared" si="1"/>
        <v>62</v>
      </c>
      <c r="L29" t="str">
        <f t="shared" si="2"/>
        <v>73.91304348</v>
      </c>
      <c r="M29">
        <v>17.0</v>
      </c>
      <c r="N29">
        <v>6.0</v>
      </c>
      <c r="O29" t="str">
        <f t="shared" si="3"/>
        <v>2</v>
      </c>
      <c r="P29" t="str">
        <f t="shared" si="4"/>
        <v>48</v>
      </c>
      <c r="Q29" t="str">
        <f t="shared" si="5"/>
        <v>76.47058824</v>
      </c>
      <c r="R29">
        <v>13.0</v>
      </c>
      <c r="S29">
        <v>4.0</v>
      </c>
      <c r="T29" t="str">
        <f t="shared" si="6"/>
        <v>8</v>
      </c>
      <c r="U29" t="str">
        <f t="shared" si="7"/>
        <v>43</v>
      </c>
      <c r="V29" t="str">
        <f t="shared" si="8"/>
        <v>70.58823529</v>
      </c>
      <c r="W29">
        <v>12.0</v>
      </c>
      <c r="X29">
        <v>5.0</v>
      </c>
      <c r="Y29" t="str">
        <f t="shared" si="9"/>
        <v>8</v>
      </c>
    </row>
    <row r="30" ht="15.75" customHeight="1">
      <c r="B30" t="s">
        <v>106</v>
      </c>
      <c r="C30" t="s">
        <v>107</v>
      </c>
      <c r="D30">
        <v>249.0</v>
      </c>
      <c r="E30">
        <v>99.0</v>
      </c>
      <c r="F30" t="s">
        <v>108</v>
      </c>
      <c r="G30">
        <v>90.14084507042254</v>
      </c>
      <c r="H30">
        <v>64.0</v>
      </c>
      <c r="I30">
        <v>7.0</v>
      </c>
      <c r="J30">
        <v>4.0</v>
      </c>
      <c r="K30" t="str">
        <f t="shared" si="1"/>
        <v>90</v>
      </c>
      <c r="L30" t="str">
        <f t="shared" si="2"/>
        <v>92</v>
      </c>
      <c r="M30">
        <v>23.0</v>
      </c>
      <c r="N30">
        <v>2.0</v>
      </c>
      <c r="O30" t="str">
        <f t="shared" si="3"/>
        <v>0</v>
      </c>
      <c r="P30" t="str">
        <f t="shared" si="4"/>
        <v>63</v>
      </c>
      <c r="Q30" t="str">
        <f t="shared" si="5"/>
        <v>77.27272727</v>
      </c>
      <c r="R30">
        <v>17.0</v>
      </c>
      <c r="S30">
        <v>5.0</v>
      </c>
      <c r="T30" t="str">
        <f t="shared" si="6"/>
        <v>3</v>
      </c>
      <c r="U30" t="str">
        <f t="shared" si="7"/>
        <v>96</v>
      </c>
      <c r="V30" t="str">
        <f t="shared" si="8"/>
        <v>100</v>
      </c>
      <c r="W30">
        <v>24.0</v>
      </c>
      <c r="X30">
        <v>0.0</v>
      </c>
      <c r="Y30" t="str">
        <f t="shared" si="9"/>
        <v>1</v>
      </c>
    </row>
    <row r="31" ht="15.75" customHeight="1">
      <c r="B31" t="s">
        <v>109</v>
      </c>
      <c r="C31" t="s">
        <v>110</v>
      </c>
      <c r="D31">
        <v>171.0</v>
      </c>
      <c r="G31">
        <v>69.56521739130434</v>
      </c>
      <c r="H31">
        <v>48.0</v>
      </c>
      <c r="I31">
        <v>21.0</v>
      </c>
      <c r="J31">
        <v>6.0</v>
      </c>
      <c r="K31" t="str">
        <f t="shared" si="1"/>
        <v>47</v>
      </c>
      <c r="L31" t="str">
        <f t="shared" si="2"/>
        <v>60.86956522</v>
      </c>
      <c r="M31">
        <v>14.0</v>
      </c>
      <c r="N31">
        <v>9.0</v>
      </c>
      <c r="O31" t="str">
        <f t="shared" si="3"/>
        <v>2</v>
      </c>
      <c r="P31" t="str">
        <f t="shared" si="4"/>
        <v>37</v>
      </c>
      <c r="Q31" t="str">
        <f t="shared" si="5"/>
        <v>52.17391304</v>
      </c>
      <c r="R31">
        <v>12.0</v>
      </c>
      <c r="S31">
        <v>11.0</v>
      </c>
      <c r="T31" t="str">
        <f t="shared" si="6"/>
        <v>2</v>
      </c>
      <c r="U31" t="str">
        <f t="shared" si="7"/>
        <v>87</v>
      </c>
      <c r="V31" t="str">
        <f t="shared" si="8"/>
        <v>95.65217391</v>
      </c>
      <c r="W31">
        <v>22.0</v>
      </c>
      <c r="X31">
        <v>1.0</v>
      </c>
      <c r="Y31" t="str">
        <f t="shared" si="9"/>
        <v>2</v>
      </c>
    </row>
    <row r="32" ht="15.75" customHeight="1">
      <c r="B32" t="s">
        <v>111</v>
      </c>
      <c r="C32" t="s">
        <v>112</v>
      </c>
      <c r="D32">
        <v>224.0</v>
      </c>
      <c r="G32">
        <v>83.09859154929578</v>
      </c>
      <c r="H32">
        <v>59.0</v>
      </c>
      <c r="I32">
        <v>12.0</v>
      </c>
      <c r="J32">
        <v>4.0</v>
      </c>
      <c r="K32" t="str">
        <f t="shared" si="1"/>
        <v>66</v>
      </c>
      <c r="L32" t="str">
        <f t="shared" si="2"/>
        <v>75</v>
      </c>
      <c r="M32">
        <v>18.0</v>
      </c>
      <c r="N32">
        <v>6.0</v>
      </c>
      <c r="O32" t="str">
        <f t="shared" si="3"/>
        <v>1</v>
      </c>
      <c r="P32" t="str">
        <f t="shared" si="4"/>
        <v>58</v>
      </c>
      <c r="Q32" t="str">
        <f t="shared" si="5"/>
        <v>72.72727273</v>
      </c>
      <c r="R32">
        <v>16.0</v>
      </c>
      <c r="S32">
        <v>6.0</v>
      </c>
      <c r="T32" t="str">
        <f t="shared" si="6"/>
        <v>3</v>
      </c>
      <c r="U32" t="str">
        <f t="shared" si="7"/>
        <v>100</v>
      </c>
      <c r="V32" t="str">
        <f t="shared" si="8"/>
        <v>100</v>
      </c>
      <c r="W32">
        <v>25.0</v>
      </c>
      <c r="X32">
        <v>0.0</v>
      </c>
      <c r="Y32" t="str">
        <f t="shared" si="9"/>
        <v>0</v>
      </c>
    </row>
    <row r="33" ht="15.75" customHeight="1">
      <c r="B33" t="s">
        <v>113</v>
      </c>
      <c r="C33" t="s">
        <v>114</v>
      </c>
      <c r="D33">
        <v>157.0</v>
      </c>
      <c r="E33">
        <v>91.0</v>
      </c>
      <c r="F33" t="s">
        <v>115</v>
      </c>
      <c r="G33">
        <v>74.13793103448276</v>
      </c>
      <c r="H33">
        <v>43.0</v>
      </c>
      <c r="I33">
        <v>15.0</v>
      </c>
      <c r="J33">
        <v>17.0</v>
      </c>
      <c r="K33" t="str">
        <f t="shared" si="1"/>
        <v>65</v>
      </c>
      <c r="L33" t="str">
        <f t="shared" si="2"/>
        <v>72</v>
      </c>
      <c r="M33">
        <v>18.0</v>
      </c>
      <c r="N33">
        <v>7.0</v>
      </c>
      <c r="O33" t="str">
        <f t="shared" si="3"/>
        <v>0</v>
      </c>
      <c r="P33" t="str">
        <f t="shared" si="4"/>
        <v>57</v>
      </c>
      <c r="Q33" t="str">
        <f t="shared" si="5"/>
        <v>83.33333333</v>
      </c>
      <c r="R33">
        <v>15.0</v>
      </c>
      <c r="S33">
        <v>3.0</v>
      </c>
      <c r="T33" t="str">
        <f t="shared" si="6"/>
        <v>7</v>
      </c>
      <c r="U33" t="str">
        <f t="shared" si="7"/>
        <v>35</v>
      </c>
      <c r="V33" t="str">
        <f t="shared" si="8"/>
        <v>66.66666667</v>
      </c>
      <c r="W33">
        <v>10.0</v>
      </c>
      <c r="X33">
        <v>5.0</v>
      </c>
      <c r="Y33" t="str">
        <f t="shared" si="9"/>
        <v>10</v>
      </c>
    </row>
    <row r="34" ht="15.75" customHeight="1">
      <c r="B34" t="s">
        <v>116</v>
      </c>
      <c r="C34" t="s">
        <v>117</v>
      </c>
      <c r="D34">
        <v>192.0</v>
      </c>
      <c r="E34">
        <v>96.0</v>
      </c>
      <c r="F34" t="s">
        <v>118</v>
      </c>
      <c r="G34">
        <v>76.47058823529412</v>
      </c>
      <c r="H34">
        <v>52.0</v>
      </c>
      <c r="I34">
        <v>16.0</v>
      </c>
      <c r="J34">
        <v>7.0</v>
      </c>
      <c r="K34" t="str">
        <f t="shared" si="1"/>
        <v>51</v>
      </c>
      <c r="L34" t="str">
        <f t="shared" si="2"/>
        <v>62.5</v>
      </c>
      <c r="M34">
        <v>15.0</v>
      </c>
      <c r="N34">
        <v>9.0</v>
      </c>
      <c r="O34" t="str">
        <f t="shared" si="3"/>
        <v>1</v>
      </c>
      <c r="P34" t="str">
        <f t="shared" si="4"/>
        <v>53</v>
      </c>
      <c r="Q34" t="str">
        <f t="shared" si="5"/>
        <v>68.18181818</v>
      </c>
      <c r="R34">
        <v>15.0</v>
      </c>
      <c r="S34">
        <v>7.0</v>
      </c>
      <c r="T34" t="str">
        <f t="shared" si="6"/>
        <v>3</v>
      </c>
      <c r="U34" t="str">
        <f t="shared" si="7"/>
        <v>88</v>
      </c>
      <c r="V34" t="str">
        <f t="shared" si="8"/>
        <v>100</v>
      </c>
      <c r="W34">
        <v>22.0</v>
      </c>
      <c r="X34">
        <v>0.0</v>
      </c>
      <c r="Y34" t="str">
        <f t="shared" si="9"/>
        <v>3</v>
      </c>
    </row>
    <row r="35" ht="15.75" customHeight="1">
      <c r="B35" t="s">
        <v>119</v>
      </c>
      <c r="C35" t="s">
        <v>120</v>
      </c>
      <c r="D35">
        <v>220.0</v>
      </c>
      <c r="G35">
        <v>82.85714285714286</v>
      </c>
      <c r="H35">
        <v>58.0</v>
      </c>
      <c r="I35">
        <v>12.0</v>
      </c>
      <c r="J35">
        <v>5.0</v>
      </c>
      <c r="K35" t="str">
        <f t="shared" si="1"/>
        <v>91</v>
      </c>
      <c r="L35" t="str">
        <f t="shared" si="2"/>
        <v>95.83333333</v>
      </c>
      <c r="M35">
        <v>23.0</v>
      </c>
      <c r="N35">
        <v>1.0</v>
      </c>
      <c r="O35" t="str">
        <f t="shared" si="3"/>
        <v>1</v>
      </c>
      <c r="P35" t="str">
        <f t="shared" si="4"/>
        <v>53</v>
      </c>
      <c r="Q35" t="str">
        <f t="shared" si="5"/>
        <v>68.18181818</v>
      </c>
      <c r="R35">
        <v>15.0</v>
      </c>
      <c r="S35">
        <v>7.0</v>
      </c>
      <c r="T35" t="str">
        <f t="shared" si="6"/>
        <v>3</v>
      </c>
      <c r="U35" t="str">
        <f t="shared" si="7"/>
        <v>76</v>
      </c>
      <c r="V35" t="str">
        <f t="shared" si="8"/>
        <v>83.33333333</v>
      </c>
      <c r="W35">
        <v>20.0</v>
      </c>
      <c r="X35">
        <v>4.0</v>
      </c>
      <c r="Y35" t="str">
        <f t="shared" si="9"/>
        <v>1</v>
      </c>
    </row>
    <row r="36" ht="15.75" customHeight="1">
      <c r="B36" t="s">
        <v>121</v>
      </c>
      <c r="C36" t="s">
        <v>122</v>
      </c>
      <c r="D36">
        <v>183.0</v>
      </c>
      <c r="G36">
        <v>74.6268656716418</v>
      </c>
      <c r="H36">
        <v>50.0</v>
      </c>
      <c r="I36">
        <v>17.0</v>
      </c>
      <c r="J36">
        <v>8.0</v>
      </c>
      <c r="K36" t="str">
        <f t="shared" si="1"/>
        <v>68</v>
      </c>
      <c r="L36" t="str">
        <f t="shared" si="2"/>
        <v>81.81818182</v>
      </c>
      <c r="M36">
        <v>18.0</v>
      </c>
      <c r="N36">
        <v>4.0</v>
      </c>
      <c r="O36" t="str">
        <f t="shared" si="3"/>
        <v>3</v>
      </c>
      <c r="P36" t="str">
        <f t="shared" si="4"/>
        <v>38</v>
      </c>
      <c r="Q36" t="str">
        <f t="shared" si="5"/>
        <v>54.54545455</v>
      </c>
      <c r="R36">
        <v>12.0</v>
      </c>
      <c r="S36">
        <v>10.0</v>
      </c>
      <c r="T36" t="str">
        <f t="shared" si="6"/>
        <v>3</v>
      </c>
      <c r="U36" t="str">
        <f t="shared" si="7"/>
        <v>78</v>
      </c>
      <c r="V36" t="str">
        <f t="shared" si="8"/>
        <v>90.90909091</v>
      </c>
      <c r="W36">
        <v>20.0</v>
      </c>
      <c r="X36">
        <v>2.0</v>
      </c>
      <c r="Y36" t="str">
        <f t="shared" si="9"/>
        <v>3</v>
      </c>
    </row>
    <row r="37" ht="15.75" customHeight="1">
      <c r="B37" t="s">
        <v>123</v>
      </c>
      <c r="C37" t="s">
        <v>124</v>
      </c>
      <c r="D37">
        <v>211.0</v>
      </c>
      <c r="E37">
        <v>98.0</v>
      </c>
      <c r="F37" t="s">
        <v>125</v>
      </c>
      <c r="G37">
        <v>81.15942028985508</v>
      </c>
      <c r="H37">
        <v>56.0</v>
      </c>
      <c r="I37">
        <v>13.0</v>
      </c>
      <c r="J37">
        <v>6.0</v>
      </c>
      <c r="K37" t="str">
        <f t="shared" si="1"/>
        <v>80</v>
      </c>
      <c r="L37" t="str">
        <f t="shared" si="2"/>
        <v>84</v>
      </c>
      <c r="M37">
        <v>21.0</v>
      </c>
      <c r="N37">
        <v>4.0</v>
      </c>
      <c r="O37" t="str">
        <f t="shared" si="3"/>
        <v>0</v>
      </c>
      <c r="P37" t="str">
        <f t="shared" si="4"/>
        <v>74</v>
      </c>
      <c r="Q37" t="str">
        <f t="shared" si="5"/>
        <v>90.47619048</v>
      </c>
      <c r="R37">
        <v>19.0</v>
      </c>
      <c r="S37">
        <v>2.0</v>
      </c>
      <c r="T37" t="str">
        <f t="shared" si="6"/>
        <v>4</v>
      </c>
      <c r="U37" t="str">
        <f t="shared" si="7"/>
        <v>57</v>
      </c>
      <c r="V37" t="str">
        <f t="shared" si="8"/>
        <v>69.56521739</v>
      </c>
      <c r="W37">
        <v>16.0</v>
      </c>
      <c r="X37">
        <v>7.0</v>
      </c>
      <c r="Y37" t="str">
        <f t="shared" si="9"/>
        <v>2</v>
      </c>
    </row>
    <row r="38" ht="15.75" customHeight="1">
      <c r="B38" t="s">
        <v>126</v>
      </c>
      <c r="C38" t="s">
        <v>127</v>
      </c>
      <c r="D38">
        <v>219.0</v>
      </c>
      <c r="E38">
        <v>98.0</v>
      </c>
      <c r="F38" t="s">
        <v>128</v>
      </c>
      <c r="G38">
        <v>81.69014084507043</v>
      </c>
      <c r="H38">
        <v>58.0</v>
      </c>
      <c r="I38">
        <v>13.0</v>
      </c>
      <c r="J38">
        <v>4.0</v>
      </c>
      <c r="K38" t="str">
        <f t="shared" si="1"/>
        <v>90</v>
      </c>
      <c r="L38" t="str">
        <f t="shared" si="2"/>
        <v>92</v>
      </c>
      <c r="M38">
        <v>23.0</v>
      </c>
      <c r="N38">
        <v>2.0</v>
      </c>
      <c r="O38" t="str">
        <f t="shared" si="3"/>
        <v>0</v>
      </c>
      <c r="P38" t="str">
        <f t="shared" si="4"/>
        <v>42</v>
      </c>
      <c r="Q38" t="str">
        <f t="shared" si="5"/>
        <v>56.52173913</v>
      </c>
      <c r="R38">
        <v>13.0</v>
      </c>
      <c r="S38">
        <v>10.0</v>
      </c>
      <c r="T38" t="str">
        <f t="shared" si="6"/>
        <v>2</v>
      </c>
      <c r="U38" t="str">
        <f t="shared" si="7"/>
        <v>87</v>
      </c>
      <c r="V38" t="str">
        <f t="shared" si="8"/>
        <v>95.65217391</v>
      </c>
      <c r="W38">
        <v>22.0</v>
      </c>
      <c r="X38">
        <v>1.0</v>
      </c>
      <c r="Y38" t="str">
        <f t="shared" si="9"/>
        <v>2</v>
      </c>
    </row>
    <row r="39" ht="15.75" customHeight="1">
      <c r="B39" t="s">
        <v>129</v>
      </c>
      <c r="C39" t="s">
        <v>130</v>
      </c>
      <c r="D39">
        <v>229.0</v>
      </c>
      <c r="E39">
        <v>99.0</v>
      </c>
      <c r="F39" t="s">
        <v>63</v>
      </c>
      <c r="G39">
        <v>95.08196721311475</v>
      </c>
      <c r="H39">
        <v>58.0</v>
      </c>
      <c r="I39">
        <v>3.0</v>
      </c>
      <c r="J39">
        <v>14.0</v>
      </c>
      <c r="K39" t="str">
        <f t="shared" si="1"/>
        <v>82</v>
      </c>
      <c r="L39" t="str">
        <f t="shared" si="2"/>
        <v>91.30434783</v>
      </c>
      <c r="M39">
        <v>21.0</v>
      </c>
      <c r="N39">
        <v>2.0</v>
      </c>
      <c r="O39" t="str">
        <f t="shared" si="3"/>
        <v>2</v>
      </c>
      <c r="P39" t="str">
        <f t="shared" si="4"/>
        <v>79</v>
      </c>
      <c r="Q39" t="str">
        <f t="shared" si="5"/>
        <v>95.23809524</v>
      </c>
      <c r="R39">
        <v>20.0</v>
      </c>
      <c r="S39">
        <v>1.0</v>
      </c>
      <c r="T39" t="str">
        <f t="shared" si="6"/>
        <v>4</v>
      </c>
      <c r="U39" t="str">
        <f t="shared" si="7"/>
        <v>68</v>
      </c>
      <c r="V39" t="str">
        <f t="shared" si="8"/>
        <v>100</v>
      </c>
      <c r="W39">
        <v>17.0</v>
      </c>
      <c r="X39">
        <v>0.0</v>
      </c>
      <c r="Y39" t="str">
        <f t="shared" si="9"/>
        <v>8</v>
      </c>
    </row>
    <row r="40" ht="15.75" customHeight="1">
      <c r="B40" t="s">
        <v>131</v>
      </c>
      <c r="C40" t="s">
        <v>132</v>
      </c>
      <c r="D40">
        <v>255.0</v>
      </c>
      <c r="E40">
        <v>99.0</v>
      </c>
      <c r="F40" t="s">
        <v>133</v>
      </c>
      <c r="G40">
        <v>88.0</v>
      </c>
      <c r="H40">
        <v>66.0</v>
      </c>
      <c r="I40">
        <v>9.0</v>
      </c>
      <c r="J40">
        <v>0.0</v>
      </c>
      <c r="K40" t="str">
        <f t="shared" si="1"/>
        <v>95</v>
      </c>
      <c r="L40" t="str">
        <f t="shared" si="2"/>
        <v>96</v>
      </c>
      <c r="M40">
        <v>24.0</v>
      </c>
      <c r="N40">
        <v>1.0</v>
      </c>
      <c r="O40" t="str">
        <f t="shared" si="3"/>
        <v>0</v>
      </c>
      <c r="P40" t="str">
        <f t="shared" si="4"/>
        <v>60</v>
      </c>
      <c r="Q40" t="str">
        <f t="shared" si="5"/>
        <v>68</v>
      </c>
      <c r="R40">
        <v>17.0</v>
      </c>
      <c r="S40">
        <v>8.0</v>
      </c>
      <c r="T40" t="str">
        <f t="shared" si="6"/>
        <v>0</v>
      </c>
      <c r="U40" t="str">
        <f t="shared" si="7"/>
        <v>100</v>
      </c>
      <c r="V40" t="str">
        <f t="shared" si="8"/>
        <v>100</v>
      </c>
      <c r="W40">
        <v>25.0</v>
      </c>
      <c r="X40">
        <v>0.0</v>
      </c>
      <c r="Y40" t="str">
        <f t="shared" si="9"/>
        <v>0</v>
      </c>
    </row>
    <row r="41" ht="15.75" customHeight="1">
      <c r="B41" t="s">
        <v>134</v>
      </c>
      <c r="C41" t="s">
        <v>135</v>
      </c>
      <c r="D41">
        <v>253.0</v>
      </c>
      <c r="G41">
        <v>95.52238805970148</v>
      </c>
      <c r="H41">
        <v>64.0</v>
      </c>
      <c r="I41">
        <v>3.0</v>
      </c>
      <c r="J41">
        <v>8.0</v>
      </c>
      <c r="K41" t="str">
        <f t="shared" si="1"/>
        <v>90</v>
      </c>
      <c r="L41" t="str">
        <f t="shared" si="2"/>
        <v>92</v>
      </c>
      <c r="M41">
        <v>23.0</v>
      </c>
      <c r="N41">
        <v>2.0</v>
      </c>
      <c r="O41" t="str">
        <f t="shared" si="3"/>
        <v>0</v>
      </c>
      <c r="P41" t="str">
        <f t="shared" si="4"/>
        <v>75</v>
      </c>
      <c r="Q41" t="str">
        <f t="shared" si="5"/>
        <v>95</v>
      </c>
      <c r="R41">
        <v>19.0</v>
      </c>
      <c r="S41">
        <v>1.0</v>
      </c>
      <c r="T41" t="str">
        <f t="shared" si="6"/>
        <v>5</v>
      </c>
      <c r="U41" t="str">
        <f t="shared" si="7"/>
        <v>88</v>
      </c>
      <c r="V41" t="str">
        <f t="shared" si="8"/>
        <v>100</v>
      </c>
      <c r="W41">
        <v>22.0</v>
      </c>
      <c r="X41">
        <v>0.0</v>
      </c>
      <c r="Y41" t="str">
        <f t="shared" si="9"/>
        <v>3</v>
      </c>
    </row>
    <row r="42" ht="15.75" customHeight="1">
      <c r="B42" t="s">
        <v>136</v>
      </c>
      <c r="C42" t="s">
        <v>137</v>
      </c>
      <c r="D42">
        <v>262.0</v>
      </c>
      <c r="G42">
        <v>91.78082191780823</v>
      </c>
      <c r="H42">
        <v>67.0</v>
      </c>
      <c r="I42">
        <v>6.0</v>
      </c>
      <c r="J42">
        <v>2.0</v>
      </c>
      <c r="K42" t="str">
        <f t="shared" si="1"/>
        <v>100</v>
      </c>
      <c r="L42" t="str">
        <f t="shared" si="2"/>
        <v>100</v>
      </c>
      <c r="M42">
        <v>25.0</v>
      </c>
      <c r="N42">
        <v>0.0</v>
      </c>
      <c r="O42" t="str">
        <f t="shared" si="3"/>
        <v>0</v>
      </c>
      <c r="P42" t="str">
        <f t="shared" si="4"/>
        <v>67</v>
      </c>
      <c r="Q42" t="str">
        <f t="shared" si="5"/>
        <v>78.26086957</v>
      </c>
      <c r="R42">
        <v>18.0</v>
      </c>
      <c r="S42">
        <v>5.0</v>
      </c>
      <c r="T42" t="str">
        <f t="shared" si="6"/>
        <v>2</v>
      </c>
      <c r="U42" t="str">
        <f t="shared" si="7"/>
        <v>95</v>
      </c>
      <c r="V42" t="str">
        <f t="shared" si="8"/>
        <v>96</v>
      </c>
      <c r="W42">
        <v>24.0</v>
      </c>
      <c r="X42">
        <v>1.0</v>
      </c>
      <c r="Y42" t="str">
        <f t="shared" si="9"/>
        <v>0</v>
      </c>
    </row>
    <row r="43" ht="15.75" customHeight="1">
      <c r="A43" s="1"/>
      <c r="B43" s="1" t="s">
        <v>138</v>
      </c>
      <c r="C43" s="1" t="s">
        <v>139</v>
      </c>
      <c r="D43" s="2">
        <v>259.0</v>
      </c>
      <c r="E43" s="1"/>
      <c r="F43" s="1"/>
      <c r="G43" s="3">
        <v>92.95774647887323</v>
      </c>
      <c r="H43" s="2">
        <v>66.0</v>
      </c>
      <c r="I43" s="4">
        <v>5.0</v>
      </c>
      <c r="J43" s="5">
        <v>4.0</v>
      </c>
      <c r="K43" s="6">
        <v>85.0</v>
      </c>
      <c r="L43" s="7">
        <v>88.0</v>
      </c>
      <c r="M43" s="8">
        <v>22.0</v>
      </c>
      <c r="N43" s="9">
        <v>3.0</v>
      </c>
      <c r="O43" s="5">
        <v>0.0</v>
      </c>
      <c r="P43" s="10">
        <v>74.0</v>
      </c>
      <c r="Q43" s="11">
        <v>90.47619047619048</v>
      </c>
      <c r="R43" s="12">
        <v>19.0</v>
      </c>
      <c r="S43" s="13">
        <v>2.0</v>
      </c>
      <c r="T43" s="5">
        <v>4.0</v>
      </c>
      <c r="U43" s="14">
        <v>100.0</v>
      </c>
      <c r="V43" s="14">
        <v>100.0</v>
      </c>
      <c r="W43" s="14">
        <v>25.0</v>
      </c>
      <c r="X43" s="14">
        <v>0.0</v>
      </c>
      <c r="Y43" s="5">
        <v>0.0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conditionalFormatting sqref="D2:D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4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4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4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2026-01-09T03:58:09Z</dcterms:created>
  <dc:creator/>
  <cp:lastModifiedBy>HP</cp:lastModifiedBy>
  <dcterms:modified xsi:type="dcterms:W3CDTF">2026-01-09T04:15:33Z</dcterms:modified>
</cp:coreProperties>
</file>